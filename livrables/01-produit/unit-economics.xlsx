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Cout unitaire" sheetId="2" state="visible" r:id="rId2"/>
    <sheet name="Unit economics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10" customWidth="1" min="4" max="4"/>
  </cols>
  <sheetData>
    <row r="1">
      <c r="A1" s="1" t="inlineStr">
        <is>
          <t>Hypothèses (cellules jaunes = à modifier). Statut supposé : micro-entreprise en franchise de TVA (TVA import non récupérable).</t>
        </is>
      </c>
    </row>
    <row r="3">
      <c r="A3" s="2" t="inlineStr">
        <is>
          <t>Clé</t>
        </is>
      </c>
      <c r="B3" s="2" t="inlineStr">
        <is>
          <t>Valeur</t>
        </is>
      </c>
      <c r="C3" s="2" t="inlineStr">
        <is>
          <t>Unité</t>
        </is>
      </c>
      <c r="D3" s="2" t="inlineStr">
        <is>
          <t>Source / méthode</t>
        </is>
      </c>
    </row>
    <row r="4">
      <c r="A4" t="inlineStr">
        <is>
          <t>Taux EUR/USD (BCE)</t>
        </is>
      </c>
      <c r="B4" s="3" t="n">
        <v>1.1225</v>
      </c>
      <c r="C4" t="inlineStr">
        <is>
          <t>USD pour 1 €</t>
        </is>
      </c>
      <c r="D4" t="inlineStr">
        <is>
          <t>https://www.ecb.europa.eu/stats/policy_and_exchange_rates/euro_reference_exchange_rates/html/eurofxref-graph-usd.en.html (2 oct. 2026)</t>
        </is>
      </c>
    </row>
    <row r="5">
      <c r="A5" t="inlineStr">
        <is>
          <t>Prix carnet Taizhou Eego A5 (50-99 p)</t>
        </is>
      </c>
      <c r="B5" s="3" t="n">
        <v>3.85</v>
      </c>
      <c r="C5" t="inlineStr">
        <is>
          <t>USD</t>
        </is>
      </c>
      <c r="D5" t="inlineStr">
        <is>
          <t>https://www.alibaba.com/product-detail/A5-A6-Leather-Loose-Leaf-Refill_1600809910953.html</t>
        </is>
      </c>
    </row>
    <row r="6">
      <c r="A6" t="inlineStr">
        <is>
          <t>Prix carnet Huizhou Weiding A5 (50-499 p)</t>
        </is>
      </c>
      <c r="B6" s="3" t="n">
        <v>7.22</v>
      </c>
      <c r="C6" t="inlineStr">
        <is>
          <t>USD</t>
        </is>
      </c>
      <c r="D6" t="inlineStr">
        <is>
          <t>https://www.alibaba.com/product-detail/Custom-Genuine-Leather-A5-Diary-Cover_1601812509058.html</t>
        </is>
      </c>
    </row>
    <row r="7">
      <c r="A7" t="inlineStr">
        <is>
          <t>Fournisseur retenu (1 = Eego, 2 = Weiding)</t>
        </is>
      </c>
      <c r="B7" s="3" t="n">
        <v>1</v>
      </c>
      <c r="C7" t="inlineStr">
        <is>
          <t>choix</t>
        </is>
      </c>
      <c r="D7" t="inlineStr">
        <is>
          <t>Eego par défaut ; Weiding si l'échantillon Eego déçoit</t>
        </is>
      </c>
    </row>
    <row r="8">
      <c r="A8" t="inlineStr">
        <is>
          <t>Poids facturable par carnet</t>
        </is>
      </c>
      <c r="B8" s="3" t="n">
        <v>0.3</v>
      </c>
      <c r="C8" t="inlineStr">
        <is>
          <t>kg</t>
        </is>
      </c>
      <c r="D8" t="inlineStr">
        <is>
          <t>Weiding : 0,300 kg brut (fiche) ; Eego : fiche indique 1 kg (valeur par défaut Alibaba), on retient 0,3 kg = poids volumétrique d'une boîte 21×15×5 cm (1 575 cm³ / 5 000)</t>
        </is>
      </c>
    </row>
    <row r="9">
      <c r="A9" t="inlineStr">
        <is>
          <t>Fret express Chine-France</t>
        </is>
      </c>
      <c r="B9" s="3" t="n">
        <v>6.8</v>
      </c>
      <c r="C9" t="inlineStr">
        <is>
          <t>USD/kg</t>
        </is>
      </c>
      <c r="D9" t="inlineStr">
        <is>
          <t>Haut de fourchette 5,50-6,80 $/kg DHL, 3-6 jours (extrait) https://www.tonlexing.com/fr/comprendre-le-prix-de-DHL-et-le-co%C3%BBt-par-kilogramme/</t>
        </is>
      </c>
    </row>
    <row r="10">
      <c r="A10" t="inlineStr">
        <is>
          <t>Frais de dossier dédouanement transporteur</t>
        </is>
      </c>
      <c r="B10" s="3" t="n">
        <v>20</v>
      </c>
      <c r="C10" t="inlineStr">
        <is>
          <t>€ par envoi</t>
        </is>
      </c>
      <c r="D10" t="inlineStr">
        <is>
          <t>ESTIMATION : frais de présentation/avance de fonds facturés par les intégrateurs ; à confirmer sur la facture DHL</t>
        </is>
      </c>
    </row>
    <row r="11">
      <c r="A11" t="inlineStr">
        <is>
          <t>Quantité commandée</t>
        </is>
      </c>
      <c r="B11" s="3" t="n">
        <v>50</v>
      </c>
      <c r="C11" t="inlineStr">
        <is>
          <t>pièces</t>
        </is>
      </c>
      <c r="D11" t="inlineStr">
        <is>
          <t>MOQ Eego et Weiding = 50</t>
        </is>
      </c>
    </row>
    <row r="12">
      <c r="A12" t="inlineStr">
        <is>
          <t>Droit de douane 4205009000 origine CN</t>
        </is>
      </c>
      <c r="B12" s="3" t="n">
        <v>0.025</v>
      </c>
      <c r="C12" t="inlineStr">
        <is>
          <t>taux</t>
        </is>
      </c>
      <c r="D12" t="inlineStr">
        <is>
          <t>https://ec.europa.eu/taxation_customs/dds2/taric/measures.jsp?Lang=fr&amp;Taric=4205009000&amp;Area=CN&amp;SimDate=20261003</t>
        </is>
      </c>
    </row>
    <row r="13">
      <c r="A13" t="inlineStr">
        <is>
          <t>TVA import</t>
        </is>
      </c>
      <c r="B13" s="3" t="n">
        <v>0.2</v>
      </c>
      <c r="C13" t="inlineStr">
        <is>
          <t>taux</t>
        </is>
      </c>
      <c r="D13" t="inlineStr">
        <is>
          <t>Taux normal France ; non récupérable en franchise en base</t>
        </is>
      </c>
    </row>
    <row r="14">
      <c r="A14" t="inlineStr">
        <is>
          <t>Recharge papier A5</t>
        </is>
      </c>
      <c r="B14" s="3" t="n">
        <v>0.6</v>
      </c>
      <c r="C14" t="inlineStr">
        <is>
          <t>€/pièce</t>
        </is>
      </c>
      <c r="D14" t="inlineStr">
        <is>
          <t>ESTIMATION : à faire chiffrer par le fournisseur (inclusion non précisée sur la fiche)</t>
        </is>
      </c>
    </row>
    <row r="15">
      <c r="A15" t="inlineStr">
        <is>
          <t>Film doré marquage à chaud</t>
        </is>
      </c>
      <c r="B15" s="3" t="n">
        <v>0.15</v>
      </c>
      <c r="C15" t="inlineStr">
        <is>
          <t>€/pièce</t>
        </is>
      </c>
      <c r="D15" t="inlineStr">
        <is>
          <t>ESTIMATION : rouleau ~12 € pour ~80 marquages</t>
        </is>
      </c>
    </row>
    <row r="16">
      <c r="A16" t="inlineStr">
        <is>
          <t>Boîte carton extra-plate A5 21×15×5 cm</t>
        </is>
      </c>
      <c r="B16" s="3" t="n">
        <v>0.55</v>
      </c>
      <c r="C16" t="inlineStr">
        <is>
          <t>€ HT/pièce</t>
        </is>
      </c>
      <c r="D16" t="inlineStr">
        <is>
          <t>https://cartonnage-raux-packaging.fr/boutique-en-ligne/expedition/boites-dexpedition/boite-carton-extra-plate/boite-carton-extra-plate-format-a5-21x15x5-cm-lot-de-50/ (extrait)</t>
        </is>
      </c>
    </row>
    <row r="17">
      <c r="A17" t="inlineStr">
        <is>
          <t>Papier de soie + sticker + carte</t>
        </is>
      </c>
      <c r="B17" s="3" t="n">
        <v>0.45</v>
      </c>
      <c r="C17" t="inlineStr">
        <is>
          <t>€/pièce</t>
        </is>
      </c>
      <c r="D17" t="inlineStr">
        <is>
          <t>ESTIMATION</t>
        </is>
      </c>
    </row>
    <row r="18">
      <c r="A18" t="inlineStr">
        <is>
          <t>Prix de vente TTC</t>
        </is>
      </c>
      <c r="B18" s="3" t="n">
        <v>45</v>
      </c>
      <c r="C18" t="inlineStr">
        <is>
          <t>€</t>
        </is>
      </c>
      <c r="D18" t="inlineStr">
        <is>
          <t>Positionnement entre Rituel d'Ancrage (39,90-49 €, PU) et Louise Carmen (129-159 €)</t>
        </is>
      </c>
    </row>
    <row r="19">
      <c r="A19" t="inlineStr">
        <is>
          <t>Shopify Payments carte UE (Basic)</t>
        </is>
      </c>
      <c r="B19" s="3" t="n">
        <v>0.015</v>
      </c>
      <c r="C19" t="inlineStr">
        <is>
          <t>taux</t>
        </is>
      </c>
      <c r="D19" t="inlineStr">
        <is>
          <t>Extrait : 1,5 % + 0,25 € (shopify.com/fr/tarifs, à revérifier)</t>
        </is>
      </c>
    </row>
    <row r="20">
      <c r="A20" t="inlineStr">
        <is>
          <t>Shopify Payments fixe</t>
        </is>
      </c>
      <c r="B20" s="3" t="n">
        <v>0.25</v>
      </c>
      <c r="C20" t="inlineStr">
        <is>
          <t>€</t>
        </is>
      </c>
      <c r="D20" t="inlineStr"/>
    </row>
    <row r="21">
      <c r="A21" t="inlineStr">
        <is>
          <t>Expédition Mondial Relay Start ≤500 g (HT)</t>
        </is>
      </c>
      <c r="B21" s="3" t="n">
        <v>3.42</v>
      </c>
      <c r="C21" t="inlineStr">
        <is>
          <t>€ HT</t>
        </is>
      </c>
      <c r="D21" t="inlineStr">
        <is>
          <t>https://www.mondialrelay.fr/solutions-professionnels/nos-offres-ecommercants/offre-start (lu par sous-agent)</t>
        </is>
      </c>
    </row>
    <row r="22">
      <c r="A22" t="inlineStr">
        <is>
          <t>Provision retours/défauts</t>
        </is>
      </c>
      <c r="B22" s="3" t="n">
        <v>0.03</v>
      </c>
      <c r="C22" t="inlineStr">
        <is>
          <t>% du prix</t>
        </is>
      </c>
      <c r="D22" t="inlineStr">
        <is>
          <t>ESTIMATION : bien personnalisé exclu de la rétractation (art. L221-28 3° C. conso), reste la garantie de conformité</t>
        </is>
      </c>
    </row>
    <row r="23">
      <c r="A23" t="inlineStr">
        <is>
          <t>Cotisations micro BIC vente</t>
        </is>
      </c>
      <c r="B23" s="3" t="n">
        <v>0.123</v>
      </c>
      <c r="C23" t="inlineStr">
        <is>
          <t>% du CA</t>
        </is>
      </c>
      <c r="D23" t="inlineStr">
        <is>
          <t>https://www.economie.gouv.fr/entreprises/gerer-sa-micro-entreprise/micro-entreprises-quel-est-le-montant-de-vos-cotisations-sociales (extrait)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</cols>
  <sheetData>
    <row r="1">
      <c r="A1" s="2" t="inlineStr">
        <is>
          <t>Poste</t>
        </is>
      </c>
      <c r="B1" s="2" t="inlineStr">
        <is>
          <t>€ par carnet</t>
        </is>
      </c>
      <c r="C1" s="2" t="inlineStr">
        <is>
          <t>Formule / commentaire</t>
        </is>
      </c>
    </row>
    <row r="2">
      <c r="A2" t="inlineStr">
        <is>
          <t>Produit (USD→EUR)</t>
        </is>
      </c>
      <c r="B2" s="4">
        <f>IF(Hypotheses!B7=1,Hypotheses!B5,Hypotheses!B6)/Hypotheses!B4</f>
        <v/>
      </c>
      <c r="C2" t="inlineStr">
        <is>
          <t>Prix Alibaba / taux BCE</t>
        </is>
      </c>
    </row>
    <row r="3">
      <c r="A3" t="inlineStr">
        <is>
          <t>Fret express</t>
        </is>
      </c>
      <c r="B3" s="4">
        <f>Hypotheses!B8*Hypotheses!B9/Hypotheses!B4</f>
        <v/>
      </c>
      <c r="C3" t="inlineStr">
        <is>
          <t>kg × $/kg / taux</t>
        </is>
      </c>
    </row>
    <row r="4">
      <c r="A4" t="inlineStr">
        <is>
          <t>Frais de dossier transporteur</t>
        </is>
      </c>
      <c r="B4" s="4">
        <f>Hypotheses!B10/Hypotheses!B11</f>
        <v/>
      </c>
      <c r="C4" t="inlineStr">
        <is>
          <t>par envoi / quantité</t>
        </is>
      </c>
    </row>
    <row r="5">
      <c r="A5" t="inlineStr">
        <is>
          <t>Droit de douane</t>
        </is>
      </c>
      <c r="B5" s="4">
        <f>(B2+B3)*Hypotheses!B12</f>
        <v/>
      </c>
      <c r="C5" t="inlineStr">
        <is>
          <t>2,5 % sur valeur CIF</t>
        </is>
      </c>
    </row>
    <row r="6">
      <c r="A6" t="inlineStr">
        <is>
          <t>TVA import (non récupérable)</t>
        </is>
      </c>
      <c r="B6" s="4">
        <f>(B2+B3+B5)*Hypotheses!B13</f>
        <v/>
      </c>
      <c r="C6" t="inlineStr">
        <is>
          <t>20 % sur CIF + droit</t>
        </is>
      </c>
    </row>
    <row r="7">
      <c r="A7" t="inlineStr">
        <is>
          <t>Recharge papier</t>
        </is>
      </c>
      <c r="B7" s="4">
        <f>Hypotheses!B14</f>
        <v/>
      </c>
      <c r="C7" t="inlineStr"/>
    </row>
    <row r="8">
      <c r="A8" t="inlineStr">
        <is>
          <t>Personnalisation (film doré)</t>
        </is>
      </c>
      <c r="B8" s="4">
        <f>Hypotheses!B15</f>
        <v/>
      </c>
      <c r="C8" t="inlineStr">
        <is>
          <t>outil amorti dans le budget, pas ici</t>
        </is>
      </c>
    </row>
    <row r="9">
      <c r="A9" t="inlineStr">
        <is>
          <t>Emballage</t>
        </is>
      </c>
      <c r="B9" s="4">
        <f>Hypotheses!B16*1.2+Hypotheses!B17</f>
        <v/>
      </c>
      <c r="C9" t="inlineStr">
        <is>
          <t>boîte TTC + soie/sticker/carte</t>
        </is>
      </c>
    </row>
    <row r="10">
      <c r="A10" s="1" t="inlineStr">
        <is>
          <t>COÛT DE REVIENT</t>
        </is>
      </c>
      <c r="B10" s="4">
        <f>SUM(B2:B9)</f>
        <v/>
      </c>
      <c r="C10" t="inlineStr"/>
    </row>
    <row r="11">
      <c r="A11" t="inlineStr">
        <is>
          <t>Prix de vente TTC</t>
        </is>
      </c>
      <c r="B11" s="4">
        <f>Hypotheses!B18</f>
        <v/>
      </c>
      <c r="C11" t="inlineStr"/>
    </row>
    <row r="12">
      <c r="A12" t="inlineStr">
        <is>
          <t>Ratio coût / prix</t>
        </is>
      </c>
      <c r="B12" s="5">
        <f>B10/B11</f>
        <v/>
      </c>
      <c r="C12" t="inlineStr">
        <is>
          <t>Contrainte : ≤ 25 %</t>
        </is>
      </c>
    </row>
    <row r="13">
      <c r="A13" t="inlineStr">
        <is>
          <t>Contrainte respectée ?</t>
        </is>
      </c>
      <c r="B13">
        <f>IF(B12&lt;=0.25,"OUI","NON")</f>
        <v/>
      </c>
      <c r="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26" customWidth="1" min="4" max="4"/>
    <col width="22" customWidth="1" min="5" max="5"/>
  </cols>
  <sheetData>
    <row r="1">
      <c r="A1" s="2" t="inlineStr">
        <is>
          <t>Ligne</t>
        </is>
      </c>
      <c r="B1" s="2" t="inlineStr">
        <is>
          <t>€ par commande</t>
        </is>
      </c>
      <c r="C1" s="2" t="inlineStr">
        <is>
          <t>Formule / commentaire</t>
        </is>
      </c>
    </row>
    <row r="2">
      <c r="A2" t="inlineStr">
        <is>
          <t>Prix TTC encaissé</t>
        </is>
      </c>
      <c r="B2">
        <f>'Cout unitaire'!B11</f>
        <v/>
      </c>
      <c r="C2" t="inlineStr">
        <is>
          <t>franchise TVA : pas de TVA collectée</t>
        </is>
      </c>
    </row>
    <row r="3">
      <c r="A3" t="inlineStr">
        <is>
          <t>Coût de revient</t>
        </is>
      </c>
      <c r="B3">
        <f>-'Cout unitaire'!B10</f>
        <v/>
      </c>
      <c r="C3" t="inlineStr"/>
    </row>
    <row r="4">
      <c r="A4" t="inlineStr">
        <is>
          <t>Frais Shopify Payments</t>
        </is>
      </c>
      <c r="B4">
        <f>-(B2*Hypotheses!B19+Hypotheses!B20)</f>
        <v/>
      </c>
      <c r="C4" t="inlineStr"/>
    </row>
    <row r="5">
      <c r="A5" t="inlineStr">
        <is>
          <t>Livraison offerte (Mondial Relay Start, TTC)</t>
        </is>
      </c>
      <c r="B5">
        <f>-Hypotheses!B21*1.2</f>
        <v/>
      </c>
      <c r="C5" t="inlineStr">
        <is>
          <t>Colissimo domicile proposé en option payante +4,90 €</t>
        </is>
      </c>
    </row>
    <row r="6">
      <c r="A6" t="inlineStr">
        <is>
          <t>Provision retours/défauts</t>
        </is>
      </c>
      <c r="B6">
        <f>-B2*Hypotheses!B22</f>
        <v/>
      </c>
      <c r="C6" t="inlineStr"/>
    </row>
    <row r="7">
      <c r="A7" t="inlineStr">
        <is>
          <t>Cotisations sociales micro</t>
        </is>
      </c>
      <c r="B7">
        <f>-B2*Hypotheses!B23</f>
        <v/>
      </c>
      <c r="C7" t="inlineStr"/>
    </row>
    <row r="8">
      <c r="A8" s="1" t="inlineStr">
        <is>
          <t>CONTRIBUTION AVANT PUB</t>
        </is>
      </c>
      <c r="B8">
        <f>SUM(B2:B7)</f>
        <v/>
      </c>
      <c r="C8">
        <f> coût d'acquisition maximum au point mort</f>
        <v/>
      </c>
    </row>
    <row r="9">
      <c r="A9" t="inlineStr">
        <is>
          <t>Marge de contribution %</t>
        </is>
      </c>
      <c r="B9" s="5">
        <f>B8/B2</f>
        <v/>
      </c>
      <c r="C9" t="inlineStr"/>
    </row>
    <row r="12">
      <c r="A12" s="1" t="inlineStr">
        <is>
          <t>Scénarios de coût d'acquisition (CPA Meta)</t>
        </is>
      </c>
    </row>
    <row r="13">
      <c r="A13" s="2" t="inlineStr">
        <is>
          <t>Scénario</t>
        </is>
      </c>
      <c r="B13" s="2" t="inlineStr">
        <is>
          <t>CPA (€)</t>
        </is>
      </c>
      <c r="C13" s="2" t="inlineStr">
        <is>
          <t>Profit par commande</t>
        </is>
      </c>
      <c r="D13" s="2" t="inlineStr">
        <is>
          <t>Commandes avec 300 € de pub</t>
        </is>
      </c>
      <c r="E13" s="2" t="inlineStr">
        <is>
          <t>Profit total du test pub</t>
        </is>
      </c>
    </row>
    <row r="14">
      <c r="A14" t="inlineStr">
        <is>
          <t>Optimiste</t>
        </is>
      </c>
      <c r="B14" s="3" t="n">
        <v>12</v>
      </c>
      <c r="C14">
        <f>$B$8-B14</f>
        <v/>
      </c>
      <c r="D14">
        <f>ROUNDDOWN(Budget!$B$15/B14,0)</f>
        <v/>
      </c>
      <c r="E14">
        <f>C14*D14</f>
        <v/>
      </c>
    </row>
    <row r="15">
      <c r="A15" t="inlineStr">
        <is>
          <t>Central</t>
        </is>
      </c>
      <c r="B15" s="3" t="n">
        <v>20</v>
      </c>
      <c r="C15">
        <f>$B$8-B15</f>
        <v/>
      </c>
      <c r="D15">
        <f>ROUNDDOWN(Budget!$B$15/B15,0)</f>
        <v/>
      </c>
      <c r="E15">
        <f>C15*D15</f>
        <v/>
      </c>
    </row>
    <row r="16">
      <c r="A16" t="inlineStr">
        <is>
          <t>Pessimiste</t>
        </is>
      </c>
      <c r="B16" s="3" t="n">
        <v>30</v>
      </c>
      <c r="C16">
        <f>$B$8-B16</f>
        <v/>
      </c>
      <c r="D16">
        <f>ROUNDDOWN(Budget!$B$15/B16,0)</f>
        <v/>
      </c>
      <c r="E16">
        <f>C16*D16</f>
        <v/>
      </c>
    </row>
    <row r="18">
      <c r="A18" t="inlineStr">
        <is>
          <t>CPA maximum (point mort)</t>
        </is>
      </c>
      <c r="B18">
        <f>B8</f>
        <v/>
      </c>
    </row>
    <row r="19">
      <c r="A19" t="inlineStr">
        <is>
          <t>Panier B2B : 20 carnets avec logo à 35 € HT/u (gravure laser fablab ~1 €/u en plus)</t>
        </is>
      </c>
      <c r="B19">
        <f>20*(35-'Cout unitaire'!B10-1)</f>
        <v/>
      </c>
      <c r="C19" t="inlineStr">
        <is>
          <t>contribution d'une commande B2B de 20 pièces, sans pub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90" customWidth="1" min="3" max="3"/>
  </cols>
  <sheetData>
    <row r="1">
      <c r="A1" s="2" t="inlineStr">
        <is>
          <t>Poste</t>
        </is>
      </c>
      <c r="B1" s="2" t="inlineStr">
        <is>
          <t>Montant (€)</t>
        </is>
      </c>
      <c r="C1" s="2" t="inlineStr">
        <is>
          <t>Calcul / source</t>
        </is>
      </c>
    </row>
    <row r="2">
      <c r="A2" t="inlineStr">
        <is>
          <t>Échantillons Eego + Weiding (port express inclus)</t>
        </is>
      </c>
      <c r="B2" s="4">
        <f>(0+25+2*30)/Hypotheses!B4</f>
        <v/>
      </c>
      <c r="C2" t="inlineStr">
        <is>
          <t>Weiding : échantillon 25 $ (fiche) ; Eego : « free samples » ; port ESTIMATION 30 $ chacun</t>
        </is>
      </c>
    </row>
    <row r="3">
      <c r="A3" t="inlineStr">
        <is>
          <t>Stock 50 carnets</t>
        </is>
      </c>
      <c r="B3" s="4">
        <f>Hypotheses!B11*'Cout unitaire'!B2</f>
        <v/>
      </c>
      <c r="C3" t="inlineStr"/>
    </row>
    <row r="4">
      <c r="A4" t="inlineStr">
        <is>
          <t>Fret express 15 kg</t>
        </is>
      </c>
      <c r="B4" s="4">
        <f>Hypotheses!B11*'Cout unitaire'!B3</f>
        <v/>
      </c>
      <c r="C4" t="inlineStr"/>
    </row>
    <row r="5">
      <c r="A5" t="inlineStr">
        <is>
          <t>Droits + TVA import + frais de dossier</t>
        </is>
      </c>
      <c r="B5" s="4">
        <f>Hypotheses!B11*('Cout unitaire'!B4+'Cout unitaire'!B5+'Cout unitaire'!B6)</f>
        <v/>
      </c>
      <c r="C5" t="inlineStr"/>
    </row>
    <row r="6">
      <c r="A6" t="inlineStr">
        <is>
          <t>Recharges papier</t>
        </is>
      </c>
      <c r="B6" s="4">
        <f>Hypotheses!B11*Hypotheses!B14</f>
        <v/>
      </c>
      <c r="C6" t="inlineStr"/>
    </row>
    <row r="7">
      <c r="A7" t="inlineStr">
        <is>
          <t>Presse de marquage à chaud manuelle 110 W</t>
        </is>
      </c>
      <c r="B7" s="4" t="n">
        <v>89.90000000000001</v>
      </c>
      <c r="C7" t="inlineStr">
        <is>
          <t>https://www.decocuir.com/en/collections/presse-marquer-chaud-cuir (extrait)</t>
        </is>
      </c>
    </row>
    <row r="8">
      <c r="A8" t="inlineStr">
        <is>
          <t>Alphabet laiton 26 capitales 4 mm</t>
        </is>
      </c>
      <c r="B8" s="4" t="n">
        <v>46.58</v>
      </c>
      <c r="C8" t="inlineStr">
        <is>
          <t>https://www.am-marquagecuir.com/pages/alphabets (extrait)</t>
        </is>
      </c>
    </row>
    <row r="9">
      <c r="A9" t="inlineStr">
        <is>
          <t>Film doré (2 rouleaux)</t>
        </is>
      </c>
      <c r="B9" s="4">
        <f>Hypotheses!B11*Hypotheses!B15+5</f>
        <v/>
      </c>
      <c r="C9" t="inlineStr">
        <is>
          <t>ESTIMATION</t>
        </is>
      </c>
    </row>
    <row r="10">
      <c r="A10" t="inlineStr">
        <is>
          <t>Emballages</t>
        </is>
      </c>
      <c r="B10" s="4">
        <f>Hypotheses!B11*'Cout unitaire'!B9</f>
        <v/>
      </c>
      <c r="C10" t="inlineStr"/>
    </row>
    <row r="11">
      <c r="A11" t="inlineStr">
        <is>
          <t>Shopify Basic (offre 1 €/mois × 1 mois)</t>
        </is>
      </c>
      <c r="B11" s="4" t="n">
        <v>1</v>
      </c>
      <c r="C11" t="inlineStr">
        <is>
          <t>Offre de lancement (extrait), à revérifier</t>
        </is>
      </c>
    </row>
    <row r="12">
      <c r="A12" t="inlineStr">
        <is>
          <t>Nom de domaine .fr (1 an)</t>
        </is>
      </c>
      <c r="B12" s="4" t="n">
        <v>12</v>
      </c>
      <c r="C12" t="inlineStr">
        <is>
          <t>ESTIMATION</t>
        </is>
      </c>
    </row>
    <row r="13">
      <c r="A13" t="inlineStr">
        <is>
          <t>Appli personnalisation (Zepto Starter 9,99 $)</t>
        </is>
      </c>
      <c r="B13" s="4">
        <f>9.99/Hypotheses!B4</f>
        <v/>
      </c>
      <c r="C13" t="inlineStr">
        <is>
          <t>https://apps.shopify.com/product-personalizer (extrait) ; Judge.me, GPSReady, mentions légales : gratuits</t>
        </is>
      </c>
    </row>
    <row r="14">
      <c r="A14" t="inlineStr">
        <is>
          <t>Accessoires shooting maison</t>
        </is>
      </c>
      <c r="B14" s="4" t="n">
        <v>20</v>
      </c>
      <c r="C14" t="inlineStr">
        <is>
          <t>ESTIMATION</t>
        </is>
      </c>
    </row>
    <row r="15">
      <c r="A15" s="1" t="inlineStr">
        <is>
          <t>PUB TEST META (solde)</t>
        </is>
      </c>
      <c r="B15" s="4">
        <f>1000-SUM(B2:B14)</f>
        <v/>
      </c>
      <c r="C15" t="inlineStr">
        <is>
          <t>Tout le reste du budget va à la pub</t>
        </is>
      </c>
    </row>
    <row r="16">
      <c r="A16" s="1" t="inlineStr">
        <is>
          <t>TOTAL</t>
        </is>
      </c>
      <c r="B16" s="4">
        <f>SUM(B2:B15)</f>
        <v/>
      </c>
      <c r="C16" t="inlineStr">
        <is>
          <t>doit faire 1 000 €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2026-10-03T19:27:43Z</dcterms:created>
  <dcterms:modified xsi:type="dcterms:W3CDTF">2026-10-03T19:27:43Z</dcterms:modified>
</cp:coreProperties>
</file>