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ypotheses" sheetId="1" state="visible" r:id="rId1"/>
    <sheet name="Mensuel" sheetId="2" state="visible" r:id="rId2"/>
    <sheet name="Risq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0" pivotButton="0" quotePrefix="0" xfId="0"/>
    <xf numFmtId="3" fontId="0" fillId="2" borderId="0" pivotButton="0" quotePrefix="0" xfId="0"/>
    <xf numFmtId="3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62" customWidth="1" min="1" max="1"/>
    <col width="110" customWidth="1" min="3" max="3"/>
  </cols>
  <sheetData>
    <row r="1">
      <c r="A1" s="1" t="inlineStr">
        <is>
          <t>Hypothèses du modèle 24 mois (cellules jaunes modifiables)</t>
        </is>
      </c>
    </row>
    <row r="3">
      <c r="A3" t="inlineStr">
        <is>
          <t>Taux QAR pour 1 EUR</t>
        </is>
      </c>
      <c r="B3" s="2" t="n">
        <v>4.086</v>
      </c>
      <c r="C3" t="inlineStr">
        <is>
          <t>QAR ancré à 3,64 QAR/USD ; BCE 2 oct. 2026 : 1 € = 1,1225 $ → 3,64 × 1,1225</t>
        </is>
      </c>
    </row>
    <row r="4">
      <c r="A4" t="inlineStr">
        <is>
          <t>Prix moyen par clinique (ARPA, QAR/mois)</t>
        </is>
      </c>
      <c r="B4" s="2" t="n">
        <v>699</v>
      </c>
      <c r="C4" t="inlineStr">
        <is>
          <t>mix des paliers 399 / 799 / 1 490 QAR (voir spec-mvp.md)</t>
        </is>
      </c>
    </row>
    <row r="5">
      <c r="A5" t="inlineStr">
        <is>
          <t>Churn mensuel</t>
        </is>
      </c>
      <c r="B5" s="2" t="n">
        <v>0.03</v>
      </c>
      <c r="C5" t="inlineStr">
        <is>
          <t>ESTIMATION SaaS PME</t>
        </is>
      </c>
    </row>
    <row r="6">
      <c r="A6" t="inlineStr">
        <is>
          <t>Rendez-vous par clinique et par mois</t>
        </is>
      </c>
      <c r="B6" s="2" t="n">
        <v>500</v>
      </c>
      <c r="C6" t="inlineStr">
        <is>
          <t>ESTIMATION : 20-25 RDV/jour ouvré pour une clinique de 2-4 praticiens</t>
        </is>
      </c>
    </row>
    <row r="7">
      <c r="A7" t="inlineStr">
        <is>
          <t>Messages WhatsApp par rendez-vous</t>
        </is>
      </c>
      <c r="B7" s="2" t="n">
        <v>2</v>
      </c>
      <c r="C7" t="inlineStr">
        <is>
          <t>rappel J-1 + rappel H-3</t>
        </is>
      </c>
    </row>
    <row r="8">
      <c r="A8" t="inlineStr">
        <is>
          <t>Coût d'un message utility Qatar (USD)</t>
        </is>
      </c>
      <c r="B8" s="2" t="n">
        <v>0.02</v>
      </c>
      <c r="C8" t="inlineStr">
        <is>
          <t>ESTIMATION : Qatar sorti de « Rest of Middle East » au 1er juil. 2026 avec tarif plus élevé ; montant exact dans le CSV officiel Meta https://developers.facebook.com/documentation/business-messaging/whatsapp/pricing</t>
        </is>
      </c>
    </row>
    <row r="9">
      <c r="A9" t="inlineStr">
        <is>
          <t>Taux USD pour 1 EUR</t>
        </is>
      </c>
      <c r="B9" s="2" t="n">
        <v>1.1225</v>
      </c>
      <c r="C9" t="inlineStr">
        <is>
          <t>BCE 2 oct. 2026</t>
        </is>
      </c>
    </row>
    <row r="10">
      <c r="A10" t="inlineStr">
        <is>
          <t>Frais Stripe cartes hors EEE</t>
        </is>
      </c>
      <c r="B10" s="2" t="n">
        <v>0.0325</v>
      </c>
      <c r="C10" t="inlineStr">
        <is>
          <t>extrait : stripe.com/fr/pricing (via indy.fr)</t>
        </is>
      </c>
    </row>
    <row r="11">
      <c r="A11" t="inlineStr">
        <is>
          <t>Frais Stripe conversion de devise (facturation en QAR)</t>
        </is>
      </c>
      <c r="B11" s="2" t="n">
        <v>0.02</v>
      </c>
      <c r="C11" t="inlineStr">
        <is>
          <t>extrait</t>
        </is>
      </c>
    </row>
    <row r="12">
      <c r="A12" t="inlineStr">
        <is>
          <t>Frais fixe Stripe par facture (EUR)</t>
        </is>
      </c>
      <c r="B12" s="2" t="n">
        <v>0.25</v>
      </c>
      <c r="C12" t="inlineStr">
        <is>
          <t>extrait</t>
        </is>
      </c>
    </row>
    <row r="13">
      <c r="A13" t="inlineStr">
        <is>
          <t>Hébergement GCP Doha + base de données (EUR/mois)</t>
        </is>
      </c>
      <c r="B13" s="2" t="n">
        <v>90</v>
      </c>
      <c r="C13" t="inlineStr">
        <is>
          <t>ESTIMATION Cloud Run + Cloud SQL plus petit palier, région me-central1</t>
        </is>
      </c>
    </row>
    <row r="14">
      <c r="A14" t="inlineStr">
        <is>
          <t>Outils (abonnement Claude, domaine, e-mail) (EUR/mois)</t>
        </is>
      </c>
      <c r="B14" s="2" t="n">
        <v>130</v>
      </c>
      <c r="C14" t="inlineStr">
        <is>
          <t>ESTIMATION</t>
        </is>
      </c>
    </row>
    <row r="15">
      <c r="A15" t="inlineStr">
        <is>
          <t>Expert-comptable + assurance RC pro (EUR/mois)</t>
        </is>
      </c>
      <c r="B15" s="2" t="n">
        <v>140</v>
      </c>
      <c r="C15" t="inlineStr">
        <is>
          <t>ESTIMATION</t>
        </is>
      </c>
    </row>
    <row r="16">
      <c r="A16" t="inlineStr">
        <is>
          <t>Marketing (LinkedIn / Meta / WhatsApp) (EUR/mois, dès M3)</t>
        </is>
      </c>
      <c r="B16" s="2" t="n">
        <v>300</v>
      </c>
      <c r="C16" t="inlineStr">
        <is>
          <t>ESTIMATION</t>
        </is>
      </c>
    </row>
    <row r="17">
      <c r="A17" t="inlineStr">
        <is>
          <t>Juridique initial (DPA, CGV, consultation avocat Qatar) (EUR, M2)</t>
        </is>
      </c>
      <c r="B17" s="2" t="n">
        <v>1500</v>
      </c>
      <c r="C17" t="inlineStr">
        <is>
          <t>ESTIMATION</t>
        </is>
      </c>
    </row>
    <row r="18">
      <c r="A18" t="inlineStr">
        <is>
          <t>Voyage Web Summit Qatar fév. 2027 (EUR, M4)</t>
        </is>
      </c>
      <c r="B18" s="2" t="n">
        <v>2200</v>
      </c>
      <c r="C18" t="inlineStr">
        <is>
          <t>billet événement 997,50 QAR (marhaba.qa, extrait) + vol + 5 nuits, ESTIMATION</t>
        </is>
      </c>
    </row>
    <row r="19">
      <c r="A19" t="inlineStr">
        <is>
          <t>Voyage commercial n°2 (EUR, M16)</t>
        </is>
      </c>
      <c r="B19" s="2" t="n">
        <v>1800</v>
      </c>
      <c r="C19" t="inlineStr">
        <is>
          <t>ESTIMATION</t>
        </is>
      </c>
    </row>
    <row r="20">
      <c r="A20" t="inlineStr">
        <is>
          <t>Retenue à la source qatarie appliquée (0 = convention France-Qatar respectée)</t>
        </is>
      </c>
      <c r="B20" s="2" t="n">
        <v>0</v>
      </c>
      <c r="C20" t="inlineStr">
        <is>
          <t>mettre 0,05 pour le scénario défavorable (WHT 5 %)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cols>
    <col width="4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</cols>
  <sheetData>
    <row r="1">
      <c r="A1" t="inlineStr">
        <is>
          <t>Modèle financier 24 mois (EUR sauf mention). M1-M2 construction ; M3 pilotes gratuits ; M4 Web Summit (31 janv.-3 fév.) puis Ramadan (≈8 fév.-9 mars 2027) ; été ralenti (juin-août) ; Ramadan 2028 ≈ fin janv.-fin fév.</t>
        </is>
      </c>
    </row>
    <row r="2">
      <c r="A2" s="3" t="inlineStr">
        <is>
          <t>Ligne</t>
        </is>
      </c>
      <c r="B2" s="3" t="inlineStr">
        <is>
          <t>M1 nov. 26</t>
        </is>
      </c>
      <c r="C2" s="3" t="inlineStr">
        <is>
          <t>M2 déc. 26</t>
        </is>
      </c>
      <c r="D2" s="3" t="inlineStr">
        <is>
          <t>M3 janv. 27</t>
        </is>
      </c>
      <c r="E2" s="3" t="inlineStr">
        <is>
          <t>M4 févr. 27</t>
        </is>
      </c>
      <c r="F2" s="3" t="inlineStr">
        <is>
          <t>M5 mars 27</t>
        </is>
      </c>
      <c r="G2" s="3" t="inlineStr">
        <is>
          <t>M6 avr. 27</t>
        </is>
      </c>
      <c r="H2" s="3" t="inlineStr">
        <is>
          <t>M7 mai 27</t>
        </is>
      </c>
      <c r="I2" s="3" t="inlineStr">
        <is>
          <t>M8 juin 27</t>
        </is>
      </c>
      <c r="J2" s="3" t="inlineStr">
        <is>
          <t>M9 juil. 27</t>
        </is>
      </c>
      <c r="K2" s="3" t="inlineStr">
        <is>
          <t>M10 août 27</t>
        </is>
      </c>
      <c r="L2" s="3" t="inlineStr">
        <is>
          <t>M11 sept. 27</t>
        </is>
      </c>
      <c r="M2" s="3" t="inlineStr">
        <is>
          <t>M12 oct. 27</t>
        </is>
      </c>
      <c r="N2" s="3" t="inlineStr">
        <is>
          <t>M13 nov. 27</t>
        </is>
      </c>
      <c r="O2" s="3" t="inlineStr">
        <is>
          <t>M14 déc. 27</t>
        </is>
      </c>
      <c r="P2" s="3" t="inlineStr">
        <is>
          <t>M15 janv. 28</t>
        </is>
      </c>
      <c r="Q2" s="3" t="inlineStr">
        <is>
          <t>M16 févr. 28</t>
        </is>
      </c>
      <c r="R2" s="3" t="inlineStr">
        <is>
          <t>M17 mars 28</t>
        </is>
      </c>
      <c r="S2" s="3" t="inlineStr">
        <is>
          <t>M18 avr. 28</t>
        </is>
      </c>
      <c r="T2" s="3" t="inlineStr">
        <is>
          <t>M19 mai 28</t>
        </is>
      </c>
      <c r="U2" s="3" t="inlineStr">
        <is>
          <t>M20 juin 28</t>
        </is>
      </c>
      <c r="V2" s="3" t="inlineStr">
        <is>
          <t>M21 juil. 28</t>
        </is>
      </c>
      <c r="W2" s="3" t="inlineStr">
        <is>
          <t>M22 août 28</t>
        </is>
      </c>
      <c r="X2" s="3" t="inlineStr">
        <is>
          <t>M23 sept. 28</t>
        </is>
      </c>
      <c r="Y2" s="3" t="inlineStr">
        <is>
          <t>M24 oct. 28</t>
        </is>
      </c>
      <c r="Z2" s="3" t="inlineStr">
        <is>
          <t>TOTAL 24 mois</t>
        </is>
      </c>
    </row>
    <row r="3">
      <c r="A3" t="inlineStr">
        <is>
          <t>Nouvelles cliniques payantes</t>
        </is>
      </c>
      <c r="B3" s="4" t="n">
        <v>0</v>
      </c>
      <c r="C3" s="4" t="n">
        <v>0</v>
      </c>
      <c r="D3" s="4" t="n">
        <v>0</v>
      </c>
      <c r="E3" s="4" t="n">
        <v>2</v>
      </c>
      <c r="F3" s="4" t="n">
        <v>2</v>
      </c>
      <c r="G3" s="4" t="n">
        <v>3</v>
      </c>
      <c r="H3" s="4" t="n">
        <v>3</v>
      </c>
      <c r="I3" s="4" t="n">
        <v>2</v>
      </c>
      <c r="J3" s="4" t="n">
        <v>1</v>
      </c>
      <c r="K3" s="4" t="n">
        <v>1</v>
      </c>
      <c r="L3" s="4" t="n">
        <v>3</v>
      </c>
      <c r="M3" s="4" t="n">
        <v>4</v>
      </c>
      <c r="N3" s="4" t="n">
        <v>4</v>
      </c>
      <c r="O3" s="4" t="n">
        <v>4</v>
      </c>
      <c r="P3" s="4" t="n">
        <v>4</v>
      </c>
      <c r="Q3" s="4" t="n">
        <v>5</v>
      </c>
      <c r="R3" s="4" t="n">
        <v>5</v>
      </c>
      <c r="S3" s="4" t="n">
        <v>5</v>
      </c>
      <c r="T3" s="4" t="n">
        <v>5</v>
      </c>
      <c r="U3" s="4" t="n">
        <v>3</v>
      </c>
      <c r="V3" s="4" t="n">
        <v>2</v>
      </c>
      <c r="W3" s="4" t="n">
        <v>3</v>
      </c>
      <c r="X3" s="4" t="n">
        <v>5</v>
      </c>
      <c r="Y3" s="4" t="n">
        <v>6</v>
      </c>
      <c r="Z3" s="5">
        <f>SUM(B3:Y3)</f>
        <v/>
      </c>
    </row>
    <row r="4">
      <c r="A4" t="inlineStr">
        <is>
          <t>Cliniques perdues (churn)</t>
        </is>
      </c>
      <c r="B4" s="5">
        <f>0</f>
        <v/>
      </c>
      <c r="C4" s="5">
        <f>ROUND(B5*Hypotheses!$B$5,0)</f>
        <v/>
      </c>
      <c r="D4" s="5">
        <f>ROUND(C5*Hypotheses!$B$5,0)</f>
        <v/>
      </c>
      <c r="E4" s="5">
        <f>ROUND(D5*Hypotheses!$B$5,0)</f>
        <v/>
      </c>
      <c r="F4" s="5">
        <f>ROUND(E5*Hypotheses!$B$5,0)</f>
        <v/>
      </c>
      <c r="G4" s="5">
        <f>ROUND(F5*Hypotheses!$B$5,0)</f>
        <v/>
      </c>
      <c r="H4" s="5">
        <f>ROUND(G5*Hypotheses!$B$5,0)</f>
        <v/>
      </c>
      <c r="I4" s="5">
        <f>ROUND(H5*Hypotheses!$B$5,0)</f>
        <v/>
      </c>
      <c r="J4" s="5">
        <f>ROUND(I5*Hypotheses!$B$5,0)</f>
        <v/>
      </c>
      <c r="K4" s="5">
        <f>ROUND(J5*Hypotheses!$B$5,0)</f>
        <v/>
      </c>
      <c r="L4" s="5">
        <f>ROUND(K5*Hypotheses!$B$5,0)</f>
        <v/>
      </c>
      <c r="M4" s="5">
        <f>ROUND(L5*Hypotheses!$B$5,0)</f>
        <v/>
      </c>
      <c r="N4" s="5">
        <f>ROUND(M5*Hypotheses!$B$5,0)</f>
        <v/>
      </c>
      <c r="O4" s="5">
        <f>ROUND(N5*Hypotheses!$B$5,0)</f>
        <v/>
      </c>
      <c r="P4" s="5">
        <f>ROUND(O5*Hypotheses!$B$5,0)</f>
        <v/>
      </c>
      <c r="Q4" s="5">
        <f>ROUND(P5*Hypotheses!$B$5,0)</f>
        <v/>
      </c>
      <c r="R4" s="5">
        <f>ROUND(Q5*Hypotheses!$B$5,0)</f>
        <v/>
      </c>
      <c r="S4" s="5">
        <f>ROUND(R5*Hypotheses!$B$5,0)</f>
        <v/>
      </c>
      <c r="T4" s="5">
        <f>ROUND(S5*Hypotheses!$B$5,0)</f>
        <v/>
      </c>
      <c r="U4" s="5">
        <f>ROUND(T5*Hypotheses!$B$5,0)</f>
        <v/>
      </c>
      <c r="V4" s="5">
        <f>ROUND(U5*Hypotheses!$B$5,0)</f>
        <v/>
      </c>
      <c r="W4" s="5">
        <f>ROUND(V5*Hypotheses!$B$5,0)</f>
        <v/>
      </c>
      <c r="X4" s="5">
        <f>ROUND(W5*Hypotheses!$B$5,0)</f>
        <v/>
      </c>
      <c r="Y4" s="5">
        <f>ROUND(X5*Hypotheses!$B$5,0)</f>
        <v/>
      </c>
      <c r="Z4" s="5">
        <f>SUM(B4:Y4)</f>
        <v/>
      </c>
    </row>
    <row r="5">
      <c r="A5" t="inlineStr">
        <is>
          <t>Cliniques actives fin de mois</t>
        </is>
      </c>
      <c r="B5" s="5">
        <f>B3</f>
        <v/>
      </c>
      <c r="C5" s="5">
        <f>B5+C3-C4</f>
        <v/>
      </c>
      <c r="D5" s="5">
        <f>C5+D3-D4</f>
        <v/>
      </c>
      <c r="E5" s="5">
        <f>D5+E3-E4</f>
        <v/>
      </c>
      <c r="F5" s="5">
        <f>E5+F3-F4</f>
        <v/>
      </c>
      <c r="G5" s="5">
        <f>F5+G3-G4</f>
        <v/>
      </c>
      <c r="H5" s="5">
        <f>G5+H3-H4</f>
        <v/>
      </c>
      <c r="I5" s="5">
        <f>H5+I3-I4</f>
        <v/>
      </c>
      <c r="J5" s="5">
        <f>I5+J3-J4</f>
        <v/>
      </c>
      <c r="K5" s="5">
        <f>J5+K3-K4</f>
        <v/>
      </c>
      <c r="L5" s="5">
        <f>K5+L3-L4</f>
        <v/>
      </c>
      <c r="M5" s="5">
        <f>L5+M3-M4</f>
        <v/>
      </c>
      <c r="N5" s="5">
        <f>M5+N3-N4</f>
        <v/>
      </c>
      <c r="O5" s="5">
        <f>N5+O3-O4</f>
        <v/>
      </c>
      <c r="P5" s="5">
        <f>O5+P3-P4</f>
        <v/>
      </c>
      <c r="Q5" s="5">
        <f>P5+Q3-Q4</f>
        <v/>
      </c>
      <c r="R5" s="5">
        <f>Q5+R3-R4</f>
        <v/>
      </c>
      <c r="S5" s="5">
        <f>R5+S3-S4</f>
        <v/>
      </c>
      <c r="T5" s="5">
        <f>S5+T3-T4</f>
        <v/>
      </c>
      <c r="U5" s="5">
        <f>T5+U3-U4</f>
        <v/>
      </c>
      <c r="V5" s="5">
        <f>U5+V3-V4</f>
        <v/>
      </c>
      <c r="W5" s="5">
        <f>V5+W3-W4</f>
        <v/>
      </c>
      <c r="X5" s="5">
        <f>W5+X3-X4</f>
        <v/>
      </c>
      <c r="Y5" s="5">
        <f>X5+Y3-Y4</f>
        <v/>
      </c>
      <c r="Z5" s="5">
        <f>Y5</f>
        <v/>
      </c>
    </row>
    <row r="6">
      <c r="A6" t="inlineStr">
        <is>
          <t>Chiffre d'affaires (QAR)</t>
        </is>
      </c>
      <c r="B6" s="5">
        <f>B5*Hypotheses!$B$4</f>
        <v/>
      </c>
      <c r="C6" s="5">
        <f>C5*Hypotheses!$B$4</f>
        <v/>
      </c>
      <c r="D6" s="5">
        <f>D5*Hypotheses!$B$4</f>
        <v/>
      </c>
      <c r="E6" s="5">
        <f>E5*Hypotheses!$B$4</f>
        <v/>
      </c>
      <c r="F6" s="5">
        <f>F5*Hypotheses!$B$4</f>
        <v/>
      </c>
      <c r="G6" s="5">
        <f>G5*Hypotheses!$B$4</f>
        <v/>
      </c>
      <c r="H6" s="5">
        <f>H5*Hypotheses!$B$4</f>
        <v/>
      </c>
      <c r="I6" s="5">
        <f>I5*Hypotheses!$B$4</f>
        <v/>
      </c>
      <c r="J6" s="5">
        <f>J5*Hypotheses!$B$4</f>
        <v/>
      </c>
      <c r="K6" s="5">
        <f>K5*Hypotheses!$B$4</f>
        <v/>
      </c>
      <c r="L6" s="5">
        <f>L5*Hypotheses!$B$4</f>
        <v/>
      </c>
      <c r="M6" s="5">
        <f>M5*Hypotheses!$B$4</f>
        <v/>
      </c>
      <c r="N6" s="5">
        <f>N5*Hypotheses!$B$4</f>
        <v/>
      </c>
      <c r="O6" s="5">
        <f>O5*Hypotheses!$B$4</f>
        <v/>
      </c>
      <c r="P6" s="5">
        <f>P5*Hypotheses!$B$4</f>
        <v/>
      </c>
      <c r="Q6" s="5">
        <f>Q5*Hypotheses!$B$4</f>
        <v/>
      </c>
      <c r="R6" s="5">
        <f>R5*Hypotheses!$B$4</f>
        <v/>
      </c>
      <c r="S6" s="5">
        <f>S5*Hypotheses!$B$4</f>
        <v/>
      </c>
      <c r="T6" s="5">
        <f>T5*Hypotheses!$B$4</f>
        <v/>
      </c>
      <c r="U6" s="5">
        <f>U5*Hypotheses!$B$4</f>
        <v/>
      </c>
      <c r="V6" s="5">
        <f>V5*Hypotheses!$B$4</f>
        <v/>
      </c>
      <c r="W6" s="5">
        <f>W5*Hypotheses!$B$4</f>
        <v/>
      </c>
      <c r="X6" s="5">
        <f>X5*Hypotheses!$B$4</f>
        <v/>
      </c>
      <c r="Y6" s="5">
        <f>Y5*Hypotheses!$B$4</f>
        <v/>
      </c>
      <c r="Z6" s="5">
        <f>SUM(B6:Y6)</f>
        <v/>
      </c>
    </row>
    <row r="7">
      <c r="A7" t="inlineStr">
        <is>
          <t>Chiffre d'affaires (EUR)</t>
        </is>
      </c>
      <c r="B7" s="5">
        <f>B6/Hypotheses!$B$3</f>
        <v/>
      </c>
      <c r="C7" s="5">
        <f>C6/Hypotheses!$B$3</f>
        <v/>
      </c>
      <c r="D7" s="5">
        <f>D6/Hypotheses!$B$3</f>
        <v/>
      </c>
      <c r="E7" s="5">
        <f>E6/Hypotheses!$B$3</f>
        <v/>
      </c>
      <c r="F7" s="5">
        <f>F6/Hypotheses!$B$3</f>
        <v/>
      </c>
      <c r="G7" s="5">
        <f>G6/Hypotheses!$B$3</f>
        <v/>
      </c>
      <c r="H7" s="5">
        <f>H6/Hypotheses!$B$3</f>
        <v/>
      </c>
      <c r="I7" s="5">
        <f>I6/Hypotheses!$B$3</f>
        <v/>
      </c>
      <c r="J7" s="5">
        <f>J6/Hypotheses!$B$3</f>
        <v/>
      </c>
      <c r="K7" s="5">
        <f>K6/Hypotheses!$B$3</f>
        <v/>
      </c>
      <c r="L7" s="5">
        <f>L6/Hypotheses!$B$3</f>
        <v/>
      </c>
      <c r="M7" s="5">
        <f>M6/Hypotheses!$B$3</f>
        <v/>
      </c>
      <c r="N7" s="5">
        <f>N6/Hypotheses!$B$3</f>
        <v/>
      </c>
      <c r="O7" s="5">
        <f>O6/Hypotheses!$B$3</f>
        <v/>
      </c>
      <c r="P7" s="5">
        <f>P6/Hypotheses!$B$3</f>
        <v/>
      </c>
      <c r="Q7" s="5">
        <f>Q6/Hypotheses!$B$3</f>
        <v/>
      </c>
      <c r="R7" s="5">
        <f>R6/Hypotheses!$B$3</f>
        <v/>
      </c>
      <c r="S7" s="5">
        <f>S6/Hypotheses!$B$3</f>
        <v/>
      </c>
      <c r="T7" s="5">
        <f>T6/Hypotheses!$B$3</f>
        <v/>
      </c>
      <c r="U7" s="5">
        <f>U6/Hypotheses!$B$3</f>
        <v/>
      </c>
      <c r="V7" s="5">
        <f>V6/Hypotheses!$B$3</f>
        <v/>
      </c>
      <c r="W7" s="5">
        <f>W6/Hypotheses!$B$3</f>
        <v/>
      </c>
      <c r="X7" s="5">
        <f>X6/Hypotheses!$B$3</f>
        <v/>
      </c>
      <c r="Y7" s="5">
        <f>Y6/Hypotheses!$B$3</f>
        <v/>
      </c>
      <c r="Z7" s="5">
        <f>SUM(B7:Y7)</f>
        <v/>
      </c>
    </row>
    <row r="8">
      <c r="A8" t="inlineStr">
        <is>
          <t>Coût WhatsApp (EUR)</t>
        </is>
      </c>
      <c r="B8" s="5">
        <f>-B5*Hypotheses!$B$6*Hypotheses!$B$7*Hypotheses!$B$8/Hypotheses!$B$9</f>
        <v/>
      </c>
      <c r="C8" s="5">
        <f>-C5*Hypotheses!$B$6*Hypotheses!$B$7*Hypotheses!$B$8/Hypotheses!$B$9</f>
        <v/>
      </c>
      <c r="D8" s="5">
        <f>-D5*Hypotheses!$B$6*Hypotheses!$B$7*Hypotheses!$B$8/Hypotheses!$B$9</f>
        <v/>
      </c>
      <c r="E8" s="5">
        <f>-E5*Hypotheses!$B$6*Hypotheses!$B$7*Hypotheses!$B$8/Hypotheses!$B$9</f>
        <v/>
      </c>
      <c r="F8" s="5">
        <f>-F5*Hypotheses!$B$6*Hypotheses!$B$7*Hypotheses!$B$8/Hypotheses!$B$9</f>
        <v/>
      </c>
      <c r="G8" s="5">
        <f>-G5*Hypotheses!$B$6*Hypotheses!$B$7*Hypotheses!$B$8/Hypotheses!$B$9</f>
        <v/>
      </c>
      <c r="H8" s="5">
        <f>-H5*Hypotheses!$B$6*Hypotheses!$B$7*Hypotheses!$B$8/Hypotheses!$B$9</f>
        <v/>
      </c>
      <c r="I8" s="5">
        <f>-I5*Hypotheses!$B$6*Hypotheses!$B$7*Hypotheses!$B$8/Hypotheses!$B$9</f>
        <v/>
      </c>
      <c r="J8" s="5">
        <f>-J5*Hypotheses!$B$6*Hypotheses!$B$7*Hypotheses!$B$8/Hypotheses!$B$9</f>
        <v/>
      </c>
      <c r="K8" s="5">
        <f>-K5*Hypotheses!$B$6*Hypotheses!$B$7*Hypotheses!$B$8/Hypotheses!$B$9</f>
        <v/>
      </c>
      <c r="L8" s="5">
        <f>-L5*Hypotheses!$B$6*Hypotheses!$B$7*Hypotheses!$B$8/Hypotheses!$B$9</f>
        <v/>
      </c>
      <c r="M8" s="5">
        <f>-M5*Hypotheses!$B$6*Hypotheses!$B$7*Hypotheses!$B$8/Hypotheses!$B$9</f>
        <v/>
      </c>
      <c r="N8" s="5">
        <f>-N5*Hypotheses!$B$6*Hypotheses!$B$7*Hypotheses!$B$8/Hypotheses!$B$9</f>
        <v/>
      </c>
      <c r="O8" s="5">
        <f>-O5*Hypotheses!$B$6*Hypotheses!$B$7*Hypotheses!$B$8/Hypotheses!$B$9</f>
        <v/>
      </c>
      <c r="P8" s="5">
        <f>-P5*Hypotheses!$B$6*Hypotheses!$B$7*Hypotheses!$B$8/Hypotheses!$B$9</f>
        <v/>
      </c>
      <c r="Q8" s="5">
        <f>-Q5*Hypotheses!$B$6*Hypotheses!$B$7*Hypotheses!$B$8/Hypotheses!$B$9</f>
        <v/>
      </c>
      <c r="R8" s="5">
        <f>-R5*Hypotheses!$B$6*Hypotheses!$B$7*Hypotheses!$B$8/Hypotheses!$B$9</f>
        <v/>
      </c>
      <c r="S8" s="5">
        <f>-S5*Hypotheses!$B$6*Hypotheses!$B$7*Hypotheses!$B$8/Hypotheses!$B$9</f>
        <v/>
      </c>
      <c r="T8" s="5">
        <f>-T5*Hypotheses!$B$6*Hypotheses!$B$7*Hypotheses!$B$8/Hypotheses!$B$9</f>
        <v/>
      </c>
      <c r="U8" s="5">
        <f>-U5*Hypotheses!$B$6*Hypotheses!$B$7*Hypotheses!$B$8/Hypotheses!$B$9</f>
        <v/>
      </c>
      <c r="V8" s="5">
        <f>-V5*Hypotheses!$B$6*Hypotheses!$B$7*Hypotheses!$B$8/Hypotheses!$B$9</f>
        <v/>
      </c>
      <c r="W8" s="5">
        <f>-W5*Hypotheses!$B$6*Hypotheses!$B$7*Hypotheses!$B$8/Hypotheses!$B$9</f>
        <v/>
      </c>
      <c r="X8" s="5">
        <f>-X5*Hypotheses!$B$6*Hypotheses!$B$7*Hypotheses!$B$8/Hypotheses!$B$9</f>
        <v/>
      </c>
      <c r="Y8" s="5">
        <f>-Y5*Hypotheses!$B$6*Hypotheses!$B$7*Hypotheses!$B$8/Hypotheses!$B$9</f>
        <v/>
      </c>
      <c r="Z8" s="5">
        <f>SUM(B8:Y8)</f>
        <v/>
      </c>
    </row>
    <row r="9">
      <c r="A9" t="inlineStr">
        <is>
          <t>Frais Stripe (EUR)</t>
        </is>
      </c>
      <c r="B9" s="5">
        <f>-(B7*(Hypotheses!$B$10+Hypotheses!$B$11)+B5*Hypotheses!$B$12)</f>
        <v/>
      </c>
      <c r="C9" s="5">
        <f>-(C7*(Hypotheses!$B$10+Hypotheses!$B$11)+C5*Hypotheses!$B$12)</f>
        <v/>
      </c>
      <c r="D9" s="5">
        <f>-(D7*(Hypotheses!$B$10+Hypotheses!$B$11)+D5*Hypotheses!$B$12)</f>
        <v/>
      </c>
      <c r="E9" s="5">
        <f>-(E7*(Hypotheses!$B$10+Hypotheses!$B$11)+E5*Hypotheses!$B$12)</f>
        <v/>
      </c>
      <c r="F9" s="5">
        <f>-(F7*(Hypotheses!$B$10+Hypotheses!$B$11)+F5*Hypotheses!$B$12)</f>
        <v/>
      </c>
      <c r="G9" s="5">
        <f>-(G7*(Hypotheses!$B$10+Hypotheses!$B$11)+G5*Hypotheses!$B$12)</f>
        <v/>
      </c>
      <c r="H9" s="5">
        <f>-(H7*(Hypotheses!$B$10+Hypotheses!$B$11)+H5*Hypotheses!$B$12)</f>
        <v/>
      </c>
      <c r="I9" s="5">
        <f>-(I7*(Hypotheses!$B$10+Hypotheses!$B$11)+I5*Hypotheses!$B$12)</f>
        <v/>
      </c>
      <c r="J9" s="5">
        <f>-(J7*(Hypotheses!$B$10+Hypotheses!$B$11)+J5*Hypotheses!$B$12)</f>
        <v/>
      </c>
      <c r="K9" s="5">
        <f>-(K7*(Hypotheses!$B$10+Hypotheses!$B$11)+K5*Hypotheses!$B$12)</f>
        <v/>
      </c>
      <c r="L9" s="5">
        <f>-(L7*(Hypotheses!$B$10+Hypotheses!$B$11)+L5*Hypotheses!$B$12)</f>
        <v/>
      </c>
      <c r="M9" s="5">
        <f>-(M7*(Hypotheses!$B$10+Hypotheses!$B$11)+M5*Hypotheses!$B$12)</f>
        <v/>
      </c>
      <c r="N9" s="5">
        <f>-(N7*(Hypotheses!$B$10+Hypotheses!$B$11)+N5*Hypotheses!$B$12)</f>
        <v/>
      </c>
      <c r="O9" s="5">
        <f>-(O7*(Hypotheses!$B$10+Hypotheses!$B$11)+O5*Hypotheses!$B$12)</f>
        <v/>
      </c>
      <c r="P9" s="5">
        <f>-(P7*(Hypotheses!$B$10+Hypotheses!$B$11)+P5*Hypotheses!$B$12)</f>
        <v/>
      </c>
      <c r="Q9" s="5">
        <f>-(Q7*(Hypotheses!$B$10+Hypotheses!$B$11)+Q5*Hypotheses!$B$12)</f>
        <v/>
      </c>
      <c r="R9" s="5">
        <f>-(R7*(Hypotheses!$B$10+Hypotheses!$B$11)+R5*Hypotheses!$B$12)</f>
        <v/>
      </c>
      <c r="S9" s="5">
        <f>-(S7*(Hypotheses!$B$10+Hypotheses!$B$11)+S5*Hypotheses!$B$12)</f>
        <v/>
      </c>
      <c r="T9" s="5">
        <f>-(T7*(Hypotheses!$B$10+Hypotheses!$B$11)+T5*Hypotheses!$B$12)</f>
        <v/>
      </c>
      <c r="U9" s="5">
        <f>-(U7*(Hypotheses!$B$10+Hypotheses!$B$11)+U5*Hypotheses!$B$12)</f>
        <v/>
      </c>
      <c r="V9" s="5">
        <f>-(V7*(Hypotheses!$B$10+Hypotheses!$B$11)+V5*Hypotheses!$B$12)</f>
        <v/>
      </c>
      <c r="W9" s="5">
        <f>-(W7*(Hypotheses!$B$10+Hypotheses!$B$11)+W5*Hypotheses!$B$12)</f>
        <v/>
      </c>
      <c r="X9" s="5">
        <f>-(X7*(Hypotheses!$B$10+Hypotheses!$B$11)+X5*Hypotheses!$B$12)</f>
        <v/>
      </c>
      <c r="Y9" s="5">
        <f>-(Y7*(Hypotheses!$B$10+Hypotheses!$B$11)+Y5*Hypotheses!$B$12)</f>
        <v/>
      </c>
      <c r="Z9" s="5">
        <f>SUM(B9:Y9)</f>
        <v/>
      </c>
    </row>
    <row r="10">
      <c r="A10" t="inlineStr">
        <is>
          <t>Retenue à la source (EUR)</t>
        </is>
      </c>
      <c r="B10" s="5">
        <f>-B7*Hypotheses!$B$20</f>
        <v/>
      </c>
      <c r="C10" s="5">
        <f>-C7*Hypotheses!$B$20</f>
        <v/>
      </c>
      <c r="D10" s="5">
        <f>-D7*Hypotheses!$B$20</f>
        <v/>
      </c>
      <c r="E10" s="5">
        <f>-E7*Hypotheses!$B$20</f>
        <v/>
      </c>
      <c r="F10" s="5">
        <f>-F7*Hypotheses!$B$20</f>
        <v/>
      </c>
      <c r="G10" s="5">
        <f>-G7*Hypotheses!$B$20</f>
        <v/>
      </c>
      <c r="H10" s="5">
        <f>-H7*Hypotheses!$B$20</f>
        <v/>
      </c>
      <c r="I10" s="5">
        <f>-I7*Hypotheses!$B$20</f>
        <v/>
      </c>
      <c r="J10" s="5">
        <f>-J7*Hypotheses!$B$20</f>
        <v/>
      </c>
      <c r="K10" s="5">
        <f>-K7*Hypotheses!$B$20</f>
        <v/>
      </c>
      <c r="L10" s="5">
        <f>-L7*Hypotheses!$B$20</f>
        <v/>
      </c>
      <c r="M10" s="5">
        <f>-M7*Hypotheses!$B$20</f>
        <v/>
      </c>
      <c r="N10" s="5">
        <f>-N7*Hypotheses!$B$20</f>
        <v/>
      </c>
      <c r="O10" s="5">
        <f>-O7*Hypotheses!$B$20</f>
        <v/>
      </c>
      <c r="P10" s="5">
        <f>-P7*Hypotheses!$B$20</f>
        <v/>
      </c>
      <c r="Q10" s="5">
        <f>-Q7*Hypotheses!$B$20</f>
        <v/>
      </c>
      <c r="R10" s="5">
        <f>-R7*Hypotheses!$B$20</f>
        <v/>
      </c>
      <c r="S10" s="5">
        <f>-S7*Hypotheses!$B$20</f>
        <v/>
      </c>
      <c r="T10" s="5">
        <f>-T7*Hypotheses!$B$20</f>
        <v/>
      </c>
      <c r="U10" s="5">
        <f>-U7*Hypotheses!$B$20</f>
        <v/>
      </c>
      <c r="V10" s="5">
        <f>-V7*Hypotheses!$B$20</f>
        <v/>
      </c>
      <c r="W10" s="5">
        <f>-W7*Hypotheses!$B$20</f>
        <v/>
      </c>
      <c r="X10" s="5">
        <f>-X7*Hypotheses!$B$20</f>
        <v/>
      </c>
      <c r="Y10" s="5">
        <f>-Y7*Hypotheses!$B$20</f>
        <v/>
      </c>
      <c r="Z10" s="5">
        <f>SUM(B10:Y10)</f>
        <v/>
      </c>
    </row>
    <row r="11">
      <c r="A11" t="inlineStr">
        <is>
          <t>Marge brute (EUR)</t>
        </is>
      </c>
      <c r="B11" s="5">
        <f>B7+B8+B9+B10</f>
        <v/>
      </c>
      <c r="C11" s="5">
        <f>C7+C8+C9+C10</f>
        <v/>
      </c>
      <c r="D11" s="5">
        <f>D7+D8+D9+D10</f>
        <v/>
      </c>
      <c r="E11" s="5">
        <f>E7+E8+E9+E10</f>
        <v/>
      </c>
      <c r="F11" s="5">
        <f>F7+F8+F9+F10</f>
        <v/>
      </c>
      <c r="G11" s="5">
        <f>G7+G8+G9+G10</f>
        <v/>
      </c>
      <c r="H11" s="5">
        <f>H7+H8+H9+H10</f>
        <v/>
      </c>
      <c r="I11" s="5">
        <f>I7+I8+I9+I10</f>
        <v/>
      </c>
      <c r="J11" s="5">
        <f>J7+J8+J9+J10</f>
        <v/>
      </c>
      <c r="K11" s="5">
        <f>K7+K8+K9+K10</f>
        <v/>
      </c>
      <c r="L11" s="5">
        <f>L7+L8+L9+L10</f>
        <v/>
      </c>
      <c r="M11" s="5">
        <f>M7+M8+M9+M10</f>
        <v/>
      </c>
      <c r="N11" s="5">
        <f>N7+N8+N9+N10</f>
        <v/>
      </c>
      <c r="O11" s="5">
        <f>O7+O8+O9+O10</f>
        <v/>
      </c>
      <c r="P11" s="5">
        <f>P7+P8+P9+P10</f>
        <v/>
      </c>
      <c r="Q11" s="5">
        <f>Q7+Q8+Q9+Q10</f>
        <v/>
      </c>
      <c r="R11" s="5">
        <f>R7+R8+R9+R10</f>
        <v/>
      </c>
      <c r="S11" s="5">
        <f>S7+S8+S9+S10</f>
        <v/>
      </c>
      <c r="T11" s="5">
        <f>T7+T8+T9+T10</f>
        <v/>
      </c>
      <c r="U11" s="5">
        <f>U7+U8+U9+U10</f>
        <v/>
      </c>
      <c r="V11" s="5">
        <f>V7+V8+V9+V10</f>
        <v/>
      </c>
      <c r="W11" s="5">
        <f>W7+W8+W9+W10</f>
        <v/>
      </c>
      <c r="X11" s="5">
        <f>X7+X8+X9+X10</f>
        <v/>
      </c>
      <c r="Y11" s="5">
        <f>Y7+Y8+Y9+Y10</f>
        <v/>
      </c>
      <c r="Z11" s="5">
        <f>SUM(B11:Y11)</f>
        <v/>
      </c>
    </row>
    <row r="12">
      <c r="A12" t="inlineStr">
        <is>
          <t>Marge brute %</t>
        </is>
      </c>
      <c r="B12" s="6">
        <f>IF(B7=0,"",B11/B7)</f>
        <v/>
      </c>
      <c r="C12" s="6">
        <f>IF(C7=0,"",C11/C7)</f>
        <v/>
      </c>
      <c r="D12" s="6">
        <f>IF(D7=0,"",D11/D7)</f>
        <v/>
      </c>
      <c r="E12" s="6">
        <f>IF(E7=0,"",E11/E7)</f>
        <v/>
      </c>
      <c r="F12" s="6">
        <f>IF(F7=0,"",F11/F7)</f>
        <v/>
      </c>
      <c r="G12" s="6">
        <f>IF(G7=0,"",G11/G7)</f>
        <v/>
      </c>
      <c r="H12" s="6">
        <f>IF(H7=0,"",H11/H7)</f>
        <v/>
      </c>
      <c r="I12" s="6">
        <f>IF(I7=0,"",I11/I7)</f>
        <v/>
      </c>
      <c r="J12" s="6">
        <f>IF(J7=0,"",J11/J7)</f>
        <v/>
      </c>
      <c r="K12" s="6">
        <f>IF(K7=0,"",K11/K7)</f>
        <v/>
      </c>
      <c r="L12" s="6">
        <f>IF(L7=0,"",L11/L7)</f>
        <v/>
      </c>
      <c r="M12" s="6">
        <f>IF(M7=0,"",M11/M7)</f>
        <v/>
      </c>
      <c r="N12" s="6">
        <f>IF(N7=0,"",N11/N7)</f>
        <v/>
      </c>
      <c r="O12" s="6">
        <f>IF(O7=0,"",O11/O7)</f>
        <v/>
      </c>
      <c r="P12" s="6">
        <f>IF(P7=0,"",P11/P7)</f>
        <v/>
      </c>
      <c r="Q12" s="6">
        <f>IF(Q7=0,"",Q11/Q7)</f>
        <v/>
      </c>
      <c r="R12" s="6">
        <f>IF(R7=0,"",R11/R7)</f>
        <v/>
      </c>
      <c r="S12" s="6">
        <f>IF(S7=0,"",S11/S7)</f>
        <v/>
      </c>
      <c r="T12" s="6">
        <f>IF(T7=0,"",T11/T7)</f>
        <v/>
      </c>
      <c r="U12" s="6">
        <f>IF(U7=0,"",U11/U7)</f>
        <v/>
      </c>
      <c r="V12" s="6">
        <f>IF(V7=0,"",V11/V7)</f>
        <v/>
      </c>
      <c r="W12" s="6">
        <f>IF(W7=0,"",W11/W7)</f>
        <v/>
      </c>
      <c r="X12" s="6">
        <f>IF(X7=0,"",X11/X7)</f>
        <v/>
      </c>
      <c r="Y12" s="6">
        <f>IF(Y7=0,"",Y11/Y7)</f>
        <v/>
      </c>
      <c r="Z12" s="5" t="n"/>
    </row>
    <row r="13">
      <c r="A13" t="inlineStr">
        <is>
          <t>Hébergement</t>
        </is>
      </c>
      <c r="B13" s="5">
        <f>-Hypotheses!$B$13</f>
        <v/>
      </c>
      <c r="C13" s="5">
        <f>-Hypotheses!$B$13</f>
        <v/>
      </c>
      <c r="D13" s="5">
        <f>-Hypotheses!$B$13</f>
        <v/>
      </c>
      <c r="E13" s="5">
        <f>-Hypotheses!$B$13</f>
        <v/>
      </c>
      <c r="F13" s="5">
        <f>-Hypotheses!$B$13</f>
        <v/>
      </c>
      <c r="G13" s="5">
        <f>-Hypotheses!$B$13</f>
        <v/>
      </c>
      <c r="H13" s="5">
        <f>-Hypotheses!$B$13</f>
        <v/>
      </c>
      <c r="I13" s="5">
        <f>-Hypotheses!$B$13</f>
        <v/>
      </c>
      <c r="J13" s="5">
        <f>-Hypotheses!$B$13</f>
        <v/>
      </c>
      <c r="K13" s="5">
        <f>-Hypotheses!$B$13</f>
        <v/>
      </c>
      <c r="L13" s="5">
        <f>-Hypotheses!$B$13</f>
        <v/>
      </c>
      <c r="M13" s="5">
        <f>-Hypotheses!$B$13</f>
        <v/>
      </c>
      <c r="N13" s="5">
        <f>-Hypotheses!$B$13</f>
        <v/>
      </c>
      <c r="O13" s="5">
        <f>-Hypotheses!$B$13</f>
        <v/>
      </c>
      <c r="P13" s="5">
        <f>-Hypotheses!$B$13</f>
        <v/>
      </c>
      <c r="Q13" s="5">
        <f>-Hypotheses!$B$13</f>
        <v/>
      </c>
      <c r="R13" s="5">
        <f>-Hypotheses!$B$13</f>
        <v/>
      </c>
      <c r="S13" s="5">
        <f>-Hypotheses!$B$13</f>
        <v/>
      </c>
      <c r="T13" s="5">
        <f>-Hypotheses!$B$13</f>
        <v/>
      </c>
      <c r="U13" s="5">
        <f>-Hypotheses!$B$13</f>
        <v/>
      </c>
      <c r="V13" s="5">
        <f>-Hypotheses!$B$13</f>
        <v/>
      </c>
      <c r="W13" s="5">
        <f>-Hypotheses!$B$13</f>
        <v/>
      </c>
      <c r="X13" s="5">
        <f>-Hypotheses!$B$13</f>
        <v/>
      </c>
      <c r="Y13" s="5">
        <f>-Hypotheses!$B$13</f>
        <v/>
      </c>
      <c r="Z13" s="5">
        <f>SUM(B13:Y13)</f>
        <v/>
      </c>
    </row>
    <row r="14">
      <c r="A14" t="inlineStr">
        <is>
          <t>Outils</t>
        </is>
      </c>
      <c r="B14" s="5">
        <f>-Hypotheses!$B$14</f>
        <v/>
      </c>
      <c r="C14" s="5">
        <f>-Hypotheses!$B$14</f>
        <v/>
      </c>
      <c r="D14" s="5">
        <f>-Hypotheses!$B$14</f>
        <v/>
      </c>
      <c r="E14" s="5">
        <f>-Hypotheses!$B$14</f>
        <v/>
      </c>
      <c r="F14" s="5">
        <f>-Hypotheses!$B$14</f>
        <v/>
      </c>
      <c r="G14" s="5">
        <f>-Hypotheses!$B$14</f>
        <v/>
      </c>
      <c r="H14" s="5">
        <f>-Hypotheses!$B$14</f>
        <v/>
      </c>
      <c r="I14" s="5">
        <f>-Hypotheses!$B$14</f>
        <v/>
      </c>
      <c r="J14" s="5">
        <f>-Hypotheses!$B$14</f>
        <v/>
      </c>
      <c r="K14" s="5">
        <f>-Hypotheses!$B$14</f>
        <v/>
      </c>
      <c r="L14" s="5">
        <f>-Hypotheses!$B$14</f>
        <v/>
      </c>
      <c r="M14" s="5">
        <f>-Hypotheses!$B$14</f>
        <v/>
      </c>
      <c r="N14" s="5">
        <f>-Hypotheses!$B$14</f>
        <v/>
      </c>
      <c r="O14" s="5">
        <f>-Hypotheses!$B$14</f>
        <v/>
      </c>
      <c r="P14" s="5">
        <f>-Hypotheses!$B$14</f>
        <v/>
      </c>
      <c r="Q14" s="5">
        <f>-Hypotheses!$B$14</f>
        <v/>
      </c>
      <c r="R14" s="5">
        <f>-Hypotheses!$B$14</f>
        <v/>
      </c>
      <c r="S14" s="5">
        <f>-Hypotheses!$B$14</f>
        <v/>
      </c>
      <c r="T14" s="5">
        <f>-Hypotheses!$B$14</f>
        <v/>
      </c>
      <c r="U14" s="5">
        <f>-Hypotheses!$B$14</f>
        <v/>
      </c>
      <c r="V14" s="5">
        <f>-Hypotheses!$B$14</f>
        <v/>
      </c>
      <c r="W14" s="5">
        <f>-Hypotheses!$B$14</f>
        <v/>
      </c>
      <c r="X14" s="5">
        <f>-Hypotheses!$B$14</f>
        <v/>
      </c>
      <c r="Y14" s="5">
        <f>-Hypotheses!$B$14</f>
        <v/>
      </c>
      <c r="Z14" s="5">
        <f>SUM(B14:Y14)</f>
        <v/>
      </c>
    </row>
    <row r="15">
      <c r="A15" t="inlineStr">
        <is>
          <t>Comptable + assurance</t>
        </is>
      </c>
      <c r="B15" s="5">
        <f>-Hypotheses!$B$15</f>
        <v/>
      </c>
      <c r="C15" s="5">
        <f>-Hypotheses!$B$15</f>
        <v/>
      </c>
      <c r="D15" s="5">
        <f>-Hypotheses!$B$15</f>
        <v/>
      </c>
      <c r="E15" s="5">
        <f>-Hypotheses!$B$15</f>
        <v/>
      </c>
      <c r="F15" s="5">
        <f>-Hypotheses!$B$15</f>
        <v/>
      </c>
      <c r="G15" s="5">
        <f>-Hypotheses!$B$15</f>
        <v/>
      </c>
      <c r="H15" s="5">
        <f>-Hypotheses!$B$15</f>
        <v/>
      </c>
      <c r="I15" s="5">
        <f>-Hypotheses!$B$15</f>
        <v/>
      </c>
      <c r="J15" s="5">
        <f>-Hypotheses!$B$15</f>
        <v/>
      </c>
      <c r="K15" s="5">
        <f>-Hypotheses!$B$15</f>
        <v/>
      </c>
      <c r="L15" s="5">
        <f>-Hypotheses!$B$15</f>
        <v/>
      </c>
      <c r="M15" s="5">
        <f>-Hypotheses!$B$15</f>
        <v/>
      </c>
      <c r="N15" s="5">
        <f>-Hypotheses!$B$15</f>
        <v/>
      </c>
      <c r="O15" s="5">
        <f>-Hypotheses!$B$15</f>
        <v/>
      </c>
      <c r="P15" s="5">
        <f>-Hypotheses!$B$15</f>
        <v/>
      </c>
      <c r="Q15" s="5">
        <f>-Hypotheses!$B$15</f>
        <v/>
      </c>
      <c r="R15" s="5">
        <f>-Hypotheses!$B$15</f>
        <v/>
      </c>
      <c r="S15" s="5">
        <f>-Hypotheses!$B$15</f>
        <v/>
      </c>
      <c r="T15" s="5">
        <f>-Hypotheses!$B$15</f>
        <v/>
      </c>
      <c r="U15" s="5">
        <f>-Hypotheses!$B$15</f>
        <v/>
      </c>
      <c r="V15" s="5">
        <f>-Hypotheses!$B$15</f>
        <v/>
      </c>
      <c r="W15" s="5">
        <f>-Hypotheses!$B$15</f>
        <v/>
      </c>
      <c r="X15" s="5">
        <f>-Hypotheses!$B$15</f>
        <v/>
      </c>
      <c r="Y15" s="5">
        <f>-Hypotheses!$B$15</f>
        <v/>
      </c>
      <c r="Z15" s="5">
        <f>SUM(B15:Y15)</f>
        <v/>
      </c>
    </row>
    <row r="16">
      <c r="A16" t="inlineStr">
        <is>
          <t>Marketing</t>
        </is>
      </c>
      <c r="B16" s="5">
        <f>0</f>
        <v/>
      </c>
      <c r="C16" s="5">
        <f>0</f>
        <v/>
      </c>
      <c r="D16" s="5">
        <f>-Hypotheses!$B$16</f>
        <v/>
      </c>
      <c r="E16" s="5">
        <f>-Hypotheses!$B$16</f>
        <v/>
      </c>
      <c r="F16" s="5">
        <f>-Hypotheses!$B$16</f>
        <v/>
      </c>
      <c r="G16" s="5">
        <f>-Hypotheses!$B$16</f>
        <v/>
      </c>
      <c r="H16" s="5">
        <f>-Hypotheses!$B$16</f>
        <v/>
      </c>
      <c r="I16" s="5">
        <f>-Hypotheses!$B$16</f>
        <v/>
      </c>
      <c r="J16" s="5">
        <f>-Hypotheses!$B$16</f>
        <v/>
      </c>
      <c r="K16" s="5">
        <f>-Hypotheses!$B$16</f>
        <v/>
      </c>
      <c r="L16" s="5">
        <f>-Hypotheses!$B$16</f>
        <v/>
      </c>
      <c r="M16" s="5">
        <f>-Hypotheses!$B$16</f>
        <v/>
      </c>
      <c r="N16" s="5">
        <f>-Hypotheses!$B$16</f>
        <v/>
      </c>
      <c r="O16" s="5">
        <f>-Hypotheses!$B$16</f>
        <v/>
      </c>
      <c r="P16" s="5">
        <f>-Hypotheses!$B$16</f>
        <v/>
      </c>
      <c r="Q16" s="5">
        <f>-Hypotheses!$B$16</f>
        <v/>
      </c>
      <c r="R16" s="5">
        <f>-Hypotheses!$B$16</f>
        <v/>
      </c>
      <c r="S16" s="5">
        <f>-Hypotheses!$B$16</f>
        <v/>
      </c>
      <c r="T16" s="5">
        <f>-Hypotheses!$B$16</f>
        <v/>
      </c>
      <c r="U16" s="5">
        <f>-Hypotheses!$B$16</f>
        <v/>
      </c>
      <c r="V16" s="5">
        <f>-Hypotheses!$B$16</f>
        <v/>
      </c>
      <c r="W16" s="5">
        <f>-Hypotheses!$B$16</f>
        <v/>
      </c>
      <c r="X16" s="5">
        <f>-Hypotheses!$B$16</f>
        <v/>
      </c>
      <c r="Y16" s="5">
        <f>-Hypotheses!$B$16</f>
        <v/>
      </c>
      <c r="Z16" s="5">
        <f>SUM(B16:Y16)</f>
        <v/>
      </c>
    </row>
    <row r="17">
      <c r="A17" t="inlineStr">
        <is>
          <t>Juridique</t>
        </is>
      </c>
      <c r="B17" s="5">
        <f>0</f>
        <v/>
      </c>
      <c r="C17" s="5">
        <f>-Hypotheses!$B$17</f>
        <v/>
      </c>
      <c r="D17" s="5">
        <f>0</f>
        <v/>
      </c>
      <c r="E17" s="5">
        <f>0</f>
        <v/>
      </c>
      <c r="F17" s="5">
        <f>0</f>
        <v/>
      </c>
      <c r="G17" s="5">
        <f>0</f>
        <v/>
      </c>
      <c r="H17" s="5">
        <f>0</f>
        <v/>
      </c>
      <c r="I17" s="5">
        <f>0</f>
        <v/>
      </c>
      <c r="J17" s="5">
        <f>0</f>
        <v/>
      </c>
      <c r="K17" s="5">
        <f>0</f>
        <v/>
      </c>
      <c r="L17" s="5">
        <f>0</f>
        <v/>
      </c>
      <c r="M17" s="5">
        <f>0</f>
        <v/>
      </c>
      <c r="N17" s="5">
        <f>0</f>
        <v/>
      </c>
      <c r="O17" s="5">
        <f>0</f>
        <v/>
      </c>
      <c r="P17" s="5">
        <f>0</f>
        <v/>
      </c>
      <c r="Q17" s="5">
        <f>0</f>
        <v/>
      </c>
      <c r="R17" s="5">
        <f>0</f>
        <v/>
      </c>
      <c r="S17" s="5">
        <f>0</f>
        <v/>
      </c>
      <c r="T17" s="5">
        <f>0</f>
        <v/>
      </c>
      <c r="U17" s="5">
        <f>0</f>
        <v/>
      </c>
      <c r="V17" s="5">
        <f>0</f>
        <v/>
      </c>
      <c r="W17" s="5">
        <f>0</f>
        <v/>
      </c>
      <c r="X17" s="5">
        <f>0</f>
        <v/>
      </c>
      <c r="Y17" s="5">
        <f>0</f>
        <v/>
      </c>
      <c r="Z17" s="5">
        <f>SUM(B17:Y17)</f>
        <v/>
      </c>
    </row>
    <row r="18">
      <c r="A18" t="inlineStr">
        <is>
          <t>Voyages</t>
        </is>
      </c>
      <c r="B18" s="5">
        <f>0</f>
        <v/>
      </c>
      <c r="C18" s="5">
        <f>0</f>
        <v/>
      </c>
      <c r="D18" s="5">
        <f>0</f>
        <v/>
      </c>
      <c r="E18" s="5">
        <f>-Hypotheses!$B$18</f>
        <v/>
      </c>
      <c r="F18" s="5">
        <f>0</f>
        <v/>
      </c>
      <c r="G18" s="5">
        <f>0</f>
        <v/>
      </c>
      <c r="H18" s="5">
        <f>0</f>
        <v/>
      </c>
      <c r="I18" s="5">
        <f>0</f>
        <v/>
      </c>
      <c r="J18" s="5">
        <f>0</f>
        <v/>
      </c>
      <c r="K18" s="5">
        <f>0</f>
        <v/>
      </c>
      <c r="L18" s="5">
        <f>0</f>
        <v/>
      </c>
      <c r="M18" s="5">
        <f>0</f>
        <v/>
      </c>
      <c r="N18" s="5">
        <f>0</f>
        <v/>
      </c>
      <c r="O18" s="5">
        <f>0</f>
        <v/>
      </c>
      <c r="P18" s="5">
        <f>0</f>
        <v/>
      </c>
      <c r="Q18" s="5">
        <f>-Hypotheses!$B$19</f>
        <v/>
      </c>
      <c r="R18" s="5">
        <f>0</f>
        <v/>
      </c>
      <c r="S18" s="5">
        <f>0</f>
        <v/>
      </c>
      <c r="T18" s="5">
        <f>0</f>
        <v/>
      </c>
      <c r="U18" s="5">
        <f>0</f>
        <v/>
      </c>
      <c r="V18" s="5">
        <f>0</f>
        <v/>
      </c>
      <c r="W18" s="5">
        <f>0</f>
        <v/>
      </c>
      <c r="X18" s="5">
        <f>0</f>
        <v/>
      </c>
      <c r="Y18" s="5">
        <f>0</f>
        <v/>
      </c>
      <c r="Z18" s="5">
        <f>SUM(B18:Y18)</f>
        <v/>
      </c>
    </row>
    <row r="19">
      <c r="A19" t="inlineStr">
        <is>
          <t>Total charges fixes</t>
        </is>
      </c>
      <c r="B19" s="5">
        <f>SUM(B13:B18)</f>
        <v/>
      </c>
      <c r="C19" s="5">
        <f>SUM(C13:C18)</f>
        <v/>
      </c>
      <c r="D19" s="5">
        <f>SUM(D13:D18)</f>
        <v/>
      </c>
      <c r="E19" s="5">
        <f>SUM(E13:E18)</f>
        <v/>
      </c>
      <c r="F19" s="5">
        <f>SUM(F13:F18)</f>
        <v/>
      </c>
      <c r="G19" s="5">
        <f>SUM(G13:G18)</f>
        <v/>
      </c>
      <c r="H19" s="5">
        <f>SUM(H13:H18)</f>
        <v/>
      </c>
      <c r="I19" s="5">
        <f>SUM(I13:I18)</f>
        <v/>
      </c>
      <c r="J19" s="5">
        <f>SUM(J13:J18)</f>
        <v/>
      </c>
      <c r="K19" s="5">
        <f>SUM(K13:K18)</f>
        <v/>
      </c>
      <c r="L19" s="5">
        <f>SUM(L13:L18)</f>
        <v/>
      </c>
      <c r="M19" s="5">
        <f>SUM(M13:M18)</f>
        <v/>
      </c>
      <c r="N19" s="5">
        <f>SUM(N13:N18)</f>
        <v/>
      </c>
      <c r="O19" s="5">
        <f>SUM(O13:O18)</f>
        <v/>
      </c>
      <c r="P19" s="5">
        <f>SUM(P13:P18)</f>
        <v/>
      </c>
      <c r="Q19" s="5">
        <f>SUM(Q13:Q18)</f>
        <v/>
      </c>
      <c r="R19" s="5">
        <f>SUM(R13:R18)</f>
        <v/>
      </c>
      <c r="S19" s="5">
        <f>SUM(S13:S18)</f>
        <v/>
      </c>
      <c r="T19" s="5">
        <f>SUM(T13:T18)</f>
        <v/>
      </c>
      <c r="U19" s="5">
        <f>SUM(U13:U18)</f>
        <v/>
      </c>
      <c r="V19" s="5">
        <f>SUM(V13:V18)</f>
        <v/>
      </c>
      <c r="W19" s="5">
        <f>SUM(W13:W18)</f>
        <v/>
      </c>
      <c r="X19" s="5">
        <f>SUM(X13:X18)</f>
        <v/>
      </c>
      <c r="Y19" s="5">
        <f>SUM(Y13:Y18)</f>
        <v/>
      </c>
      <c r="Z19" s="5">
        <f>SUM(B19:Y19)</f>
        <v/>
      </c>
    </row>
    <row r="20">
      <c r="A20" t="inlineStr">
        <is>
          <t>Résultat mensuel (EUR)</t>
        </is>
      </c>
      <c r="B20" s="5">
        <f>B11+B19</f>
        <v/>
      </c>
      <c r="C20" s="5">
        <f>C11+C19</f>
        <v/>
      </c>
      <c r="D20" s="5">
        <f>D11+D19</f>
        <v/>
      </c>
      <c r="E20" s="5">
        <f>E11+E19</f>
        <v/>
      </c>
      <c r="F20" s="5">
        <f>F11+F19</f>
        <v/>
      </c>
      <c r="G20" s="5">
        <f>G11+G19</f>
        <v/>
      </c>
      <c r="H20" s="5">
        <f>H11+H19</f>
        <v/>
      </c>
      <c r="I20" s="5">
        <f>I11+I19</f>
        <v/>
      </c>
      <c r="J20" s="5">
        <f>J11+J19</f>
        <v/>
      </c>
      <c r="K20" s="5">
        <f>K11+K19</f>
        <v/>
      </c>
      <c r="L20" s="5">
        <f>L11+L19</f>
        <v/>
      </c>
      <c r="M20" s="5">
        <f>M11+M19</f>
        <v/>
      </c>
      <c r="N20" s="5">
        <f>N11+N19</f>
        <v/>
      </c>
      <c r="O20" s="5">
        <f>O11+O19</f>
        <v/>
      </c>
      <c r="P20" s="5">
        <f>P11+P19</f>
        <v/>
      </c>
      <c r="Q20" s="5">
        <f>Q11+Q19</f>
        <v/>
      </c>
      <c r="R20" s="5">
        <f>R11+R19</f>
        <v/>
      </c>
      <c r="S20" s="5">
        <f>S11+S19</f>
        <v/>
      </c>
      <c r="T20" s="5">
        <f>T11+T19</f>
        <v/>
      </c>
      <c r="U20" s="5">
        <f>U11+U19</f>
        <v/>
      </c>
      <c r="V20" s="5">
        <f>V11+V19</f>
        <v/>
      </c>
      <c r="W20" s="5">
        <f>W11+W19</f>
        <v/>
      </c>
      <c r="X20" s="5">
        <f>X11+X19</f>
        <v/>
      </c>
      <c r="Y20" s="5">
        <f>Y11+Y19</f>
        <v/>
      </c>
      <c r="Z20" s="5">
        <f>SUM(B20:Y20)</f>
        <v/>
      </c>
    </row>
    <row r="21">
      <c r="A21" t="inlineStr">
        <is>
          <t>Trésorerie cumulée (EUR)</t>
        </is>
      </c>
      <c r="B21" s="5">
        <f>B20</f>
        <v/>
      </c>
      <c r="C21" s="5">
        <f>B21+C20</f>
        <v/>
      </c>
      <c r="D21" s="5">
        <f>C21+D20</f>
        <v/>
      </c>
      <c r="E21" s="5">
        <f>D21+E20</f>
        <v/>
      </c>
      <c r="F21" s="5">
        <f>E21+F20</f>
        <v/>
      </c>
      <c r="G21" s="5">
        <f>F21+G20</f>
        <v/>
      </c>
      <c r="H21" s="5">
        <f>G21+H20</f>
        <v/>
      </c>
      <c r="I21" s="5">
        <f>H21+I20</f>
        <v/>
      </c>
      <c r="J21" s="5">
        <f>I21+J20</f>
        <v/>
      </c>
      <c r="K21" s="5">
        <f>J21+K20</f>
        <v/>
      </c>
      <c r="L21" s="5">
        <f>K21+L20</f>
        <v/>
      </c>
      <c r="M21" s="5">
        <f>L21+M20</f>
        <v/>
      </c>
      <c r="N21" s="5">
        <f>M21+N20</f>
        <v/>
      </c>
      <c r="O21" s="5">
        <f>N21+O20</f>
        <v/>
      </c>
      <c r="P21" s="5">
        <f>O21+P20</f>
        <v/>
      </c>
      <c r="Q21" s="5">
        <f>P21+Q20</f>
        <v/>
      </c>
      <c r="R21" s="5">
        <f>Q21+R20</f>
        <v/>
      </c>
      <c r="S21" s="5">
        <f>R21+S20</f>
        <v/>
      </c>
      <c r="T21" s="5">
        <f>S21+T20</f>
        <v/>
      </c>
      <c r="U21" s="5">
        <f>T21+U20</f>
        <v/>
      </c>
      <c r="V21" s="5">
        <f>U21+V20</f>
        <v/>
      </c>
      <c r="W21" s="5">
        <f>V21+W20</f>
        <v/>
      </c>
      <c r="X21" s="5">
        <f>W21+X20</f>
        <v/>
      </c>
      <c r="Y21" s="5">
        <f>X21+Y20</f>
        <v/>
      </c>
      <c r="Z21" s="5">
        <f>Y21</f>
        <v/>
      </c>
    </row>
    <row r="22"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>
      <c r="A23" t="inlineStr">
        <is>
          <t>Besoin de financement maximal (creux de trésorerie)</t>
        </is>
      </c>
      <c r="B23" s="5">
        <f>MIN(B21:Y21)</f>
        <v/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>
      <c r="A24" t="inlineStr">
        <is>
          <t>Premier mois à résultat positif</t>
        </is>
      </c>
      <c r="B24" s="5">
        <f>IFERROR(INDEX(B2:Y2,MATCH(TRUE,INDEX(B20:Y20&gt;0,0),0)),"aucun")</f>
        <v/>
      </c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>
      <c r="A25" t="inlineStr">
        <is>
          <t>MRR fin M24 (EUR)</t>
        </is>
      </c>
      <c r="B25" s="5">
        <f>Y7</f>
        <v/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>
      <c r="A26" t="inlineStr">
        <is>
          <t>Seuil de rentabilité (cliniques) = charges fixes M24 / marge brute par clinique</t>
        </is>
      </c>
      <c r="B26" s="5">
        <f>-Y19/(Y11/Y5)</f>
        <v/>
      </c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0" customWidth="1" min="1" max="1"/>
    <col width="12" customWidth="1" min="2" max="2"/>
    <col width="10" customWidth="1" min="3" max="3"/>
    <col width="90" customWidth="1" min="4" max="4"/>
    <col width="40" customWidth="1" min="5" max="5"/>
  </cols>
  <sheetData>
    <row r="1">
      <c r="A1" s="3" t="inlineStr">
        <is>
          <t>Risque</t>
        </is>
      </c>
      <c r="B1" s="3" t="inlineStr">
        <is>
          <t>Probabilité</t>
        </is>
      </c>
      <c r="C1" s="3" t="inlineStr">
        <is>
          <t>Impact</t>
        </is>
      </c>
      <c r="D1" s="3" t="inlineStr">
        <is>
          <t>Solution</t>
        </is>
      </c>
      <c r="E1" s="3" t="inlineStr">
        <is>
          <t>Coût de la solution</t>
        </is>
      </c>
    </row>
    <row r="2">
      <c r="A2" t="inlineStr">
        <is>
          <t>Données de santé = « nature spéciale » (PDPPL art. 16) : autorisation préalable requise</t>
        </is>
      </c>
      <c r="B2" t="inlineStr">
        <is>
          <t>Forte</t>
        </is>
      </c>
      <c r="C2" t="inlineStr">
        <is>
          <t>Fort</t>
        </is>
      </c>
      <c r="D2" t="inlineStr">
        <is>
          <t>La clinique reste responsable de traitement ; contrat de sous-traitance ; données minimales (prénom, téléphone, date, sans motif médical) ; hébergement GCP Doha ; suppression à J+30 ; vérifier avec un avocat qatari si l'autorisation de la clinique couvre le sous-traitant</t>
        </is>
      </c>
      <c r="E2" t="inlineStr">
        <is>
          <t>~1 500 € de conseil (budget Juridique M2)</t>
        </is>
      </c>
    </row>
    <row r="3">
      <c r="A3" t="inlineStr">
        <is>
          <t>Cartes NAPS/Himyan non acceptées par Stripe</t>
        </is>
      </c>
      <c r="B3" t="inlineStr">
        <is>
          <t>Moyenne</t>
        </is>
      </c>
      <c r="C3" t="inlineStr">
        <is>
          <t>Moyen</t>
        </is>
      </c>
      <c r="D3" t="inlineStr">
        <is>
          <t>Facturation B2B : cartes Visa/Mastercard d'entreprise ou virement SWIFT annuel ; à terme passerelle locale (Dibsy, récurrent) via une entité au Qatar</t>
        </is>
      </c>
      <c r="E3" t="inlineStr">
        <is>
          <t>0 € puis frais de licence QFC 500 $ + 5 000 $/an si entité</t>
        </is>
      </c>
    </row>
    <row r="4">
      <c r="A4" t="inlineStr">
        <is>
          <t>Retenue à la source de 5 % sur services</t>
        </is>
      </c>
      <c r="B4" t="inlineStr">
        <is>
          <t>Moyenne</t>
        </is>
      </c>
      <c r="C4" t="inlineStr">
        <is>
          <t>Faible</t>
        </is>
      </c>
      <c r="D4" t="inlineStr">
        <is>
          <t>Certificat de résidence fiscale (formulaire 5000) + régime « Trusted Entity » ; sinon demande de remboursement à la GTA</t>
        </is>
      </c>
      <c r="E4" t="inlineStr">
        <is>
          <t>0 € (scénario 5 % testable dans Hypotheses B20)</t>
        </is>
      </c>
    </row>
    <row r="5">
      <c r="A5" t="inlineStr">
        <is>
          <t>Concurrence : HeliumDoc, Tabeebak, healthandmedical.qa, outils WhatsApp génériques</t>
        </is>
      </c>
      <c r="B5" t="inlineStr">
        <is>
          <t>Forte</t>
        </is>
      </c>
      <c r="C5" t="inlineStr">
        <is>
          <t>Moyen</t>
        </is>
      </c>
      <c r="D5" t="inlineStr">
        <is>
          <t>Se positionner comme outil de la clinique (pas une place de marché qui capte le patient) ; arabe natif ; liste d'attente ; prix fixe</t>
        </is>
      </c>
      <c r="E5" t="inlineStr">
        <is>
          <t>0 €</t>
        </is>
      </c>
    </row>
    <row r="6">
      <c r="A6" t="inlineStr">
        <is>
          <t>Tarif WhatsApp Qatar plus élevé que prévu</t>
        </is>
      </c>
      <c r="B6" t="inlineStr">
        <is>
          <t>Moyenne</t>
        </is>
      </c>
      <c r="C6" t="inlineStr">
        <is>
          <t>Faible</t>
        </is>
      </c>
      <c r="D6" t="inlineStr">
        <is>
          <t>Lire le CSV officiel Meta ; répercuter au-delà d'un quota de messages ; un seul rappel J-1 si nécessaire</t>
        </is>
      </c>
      <c r="E6" t="inlineStr">
        <is>
          <t>0 €</t>
        </is>
      </c>
    </row>
    <row r="7">
      <c r="A7" t="inlineStr">
        <is>
          <t>Vente à distance sans présence locale = méfiance</t>
        </is>
      </c>
      <c r="B7" t="inlineStr">
        <is>
          <t>Forte</t>
        </is>
      </c>
      <c r="C7" t="inlineStr">
        <is>
          <t>Fort</t>
        </is>
      </c>
      <c r="D7" t="inlineStr">
        <is>
          <t>Pilote gratuit 30 jours ; démo vidéo en arabe ; visite au Web Summit Qatar (fév. 2027) ; partenaire revendeur local</t>
        </is>
      </c>
      <c r="E7" t="inlineStr">
        <is>
          <t>2 200 € (voyage M4)</t>
        </is>
      </c>
    </row>
    <row r="8">
      <c r="A8" t="inlineStr">
        <is>
          <t>Changement de politique Meta (templates refusés, numéro bloqué)</t>
        </is>
      </c>
      <c r="B8" t="inlineStr">
        <is>
          <t>Faible</t>
        </is>
      </c>
      <c r="C8" t="inlineStr">
        <is>
          <t>Fort</t>
        </is>
      </c>
      <c r="D8" t="inlineStr">
        <is>
          <t>Templates « utility » sobres validés à l'avance ; repli SMS (fournisseur local) ; un numéro par clinique</t>
        </is>
      </c>
      <c r="E8" t="inlineStr">
        <is>
          <t>~0,05 $/SMS (ESTIMATION) en repli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2026-10-03T19:36:17Z</dcterms:created>
  <dcterms:modified xsi:type="dcterms:W3CDTF">2026-10-03T19:36:17Z</dcterms:modified>
</cp:coreProperties>
</file>