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list" sheetId="1" state="visible" r:id="rId1"/>
    <sheet name="Shortlist" sheetId="2" state="visible" r:id="rId2"/>
    <sheet name="Méthode" sheetId="3" state="visible" r:id="rId3"/>
  </sheets>
  <definedNames>
    <definedName name="_xlnm._FilterDatabase" localSheetId="0" hidden="1">'Longlist'!$A$1:$U$65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6" customWidth="1" min="4" max="4"/>
    <col width="44" customWidth="1" min="5" max="5"/>
    <col width="22" customWidth="1" min="6" max="6"/>
    <col width="22" customWidth="1" min="7" max="7"/>
    <col width="10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0" customWidth="1" min="17" max="17"/>
    <col width="36" customWidth="1" min="18" max="18"/>
    <col width="40" customWidth="1" min="19" max="19"/>
    <col width="40" customWidth="1" min="20" max="20"/>
    <col width="40" customWidth="1" min="21" max="21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pays</t>
        </is>
      </c>
      <c r="D1" s="1" t="inlineStr">
        <is>
          <t>part_production_mondiale</t>
        </is>
      </c>
      <c r="E1" s="1" t="inlineStr">
        <is>
          <t>justification</t>
        </is>
      </c>
      <c r="F1" s="1" t="inlineStr">
        <is>
          <t>prix_usine_eur</t>
        </is>
      </c>
      <c r="G1" s="1" t="inlineStr">
        <is>
          <t>prix_detail_FR_TTC</t>
        </is>
      </c>
      <c r="H1" s="1" t="inlineStr">
        <is>
          <t>poids_kg</t>
        </is>
      </c>
      <c r="I1" s="1" t="inlineStr">
        <is>
          <t>moq_typique</t>
        </is>
      </c>
      <c r="J1" s="1" t="inlineStr">
        <is>
          <t>c1_marge</t>
        </is>
      </c>
      <c r="K1" s="1" t="inlineStr">
        <is>
          <t>c2_panier</t>
        </is>
      </c>
      <c r="L1" s="1" t="inlineStr">
        <is>
          <t>c3_cout_rendu</t>
        </is>
      </c>
      <c r="M1" s="1" t="inlineStr">
        <is>
          <t>c4_colis</t>
        </is>
      </c>
      <c r="N1" s="1" t="inlineStr">
        <is>
          <t>c5_regime</t>
        </is>
      </c>
      <c r="O1" s="1" t="inlineStr">
        <is>
          <t>c6_moq</t>
        </is>
      </c>
      <c r="P1" s="1" t="inlineStr">
        <is>
          <t>c7_marche</t>
        </is>
      </c>
      <c r="Q1" s="1" t="inlineStr">
        <is>
          <t>verdict</t>
        </is>
      </c>
      <c r="R1" s="1" t="inlineStr">
        <is>
          <t>motif</t>
        </is>
      </c>
      <c r="S1" s="1" t="inlineStr">
        <is>
          <t>source_part</t>
        </is>
      </c>
      <c r="T1" s="1" t="inlineStr">
        <is>
          <t>source_prix_usine</t>
        </is>
      </c>
      <c r="U1" s="1" t="inlineStr">
        <is>
          <t>source_prix_detail</t>
        </is>
      </c>
    </row>
    <row r="2">
      <c r="A2" t="inlineStr">
        <is>
          <t>A01</t>
        </is>
      </c>
      <c r="B2" t="inlineStr">
        <is>
          <t>Taie d'oreiller soie de mûrier 22 mommes (50x70/65x65)</t>
        </is>
      </c>
      <c r="C2" t="inlineStr">
        <is>
          <t>Chine</t>
        </is>
      </c>
      <c r="D2" t="inlineStr">
        <is>
          <t>≈75-80 % de la soie mondiale (mûrier) ; Chine+Inde &gt;80 % (FAO cité)</t>
        </is>
      </c>
      <c r="E2" t="inlineStr">
        <is>
          <t>Filière soie de Hangzhou/Suzhou, grade 6A OEKO-TEX disponible en petites séries ; écart prix usine/détail très élevé</t>
        </is>
      </c>
      <c r="F2" t="inlineStr">
        <is>
          <t>11,30 € (12,99 USD pour 2-499 pcs ; 9,89 USD 500-999) (USD→EUR 0,87 = ESTIMATION taux)</t>
        </is>
      </c>
      <c r="G2" t="inlineStr">
        <is>
          <t>65,00 € (Greige, 22 mommes)</t>
        </is>
      </c>
      <c r="H2" t="inlineStr">
        <is>
          <t>0,15 (ESTIMATION poids taie soie 22 mm + emballage)</t>
        </is>
      </c>
      <c r="I2" t="inlineStr">
        <is>
          <t>2 à 50 pcs (Alibaba) ; logo/packaging perso souvent 100+</t>
        </is>
      </c>
      <c r="J2" t="inlineStr">
        <is>
          <t>OK marge 72% (HT 54.17€ - CR 15.26€)</t>
        </is>
      </c>
      <c r="K2" t="inlineStr">
        <is>
          <t>OK 65 € TTC l'unité ; lot de 2 ≈ 130 €</t>
        </is>
      </c>
      <c r="L2" t="inlineStr">
        <is>
          <t>OK CR 15.26€ = 23.5% du TTC 65.00€</t>
        </is>
      </c>
      <c r="M2" t="inlineStr">
        <is>
          <t>OK ≈0,15 kg, textile non fragile non périssable</t>
        </is>
      </c>
      <c r="N2" t="inlineStr">
        <is>
          <t>OK textile maison, hors exclusions</t>
        </is>
      </c>
      <c r="O2" t="inlineStr">
        <is>
          <t>OK MOQ 2-50</t>
        </is>
      </c>
      <c r="P2" t="inlineStr">
        <is>
          <t>? Marché FR fragmenté (Greige, Quête de Soie, Anne de Solène 90 €, Ma Taie d'Oreiller) : pas de leader dominant mais concurrence dense ; différenciation par momme 25/30 ou coloris</t>
        </is>
      </c>
      <c r="Q2" t="inlineStr">
        <is>
          <t>RETENU</t>
        </is>
      </c>
      <c r="R2" t="inlineStr">
        <is>
          <t>Tous critères chiffrés OK ; risque = densité concurrentielle (c7 ?)</t>
        </is>
      </c>
      <c r="S2" t="inlineStr">
        <is>
          <t>https://snsilk.com/top-silk-producing-countries/ ; https://en.wikipedia.org/wiki/Silk_industry_in_China (consulté 2026-10-02)</t>
        </is>
      </c>
      <c r="T2" t="inlineStr">
        <is>
          <t>https://www.alibaba.com/wholesale/silk-pillowcase-mulberry.html ; https://www.alibaba.com/showroom/silk-pillowcases.html (consulté 2026-10-02 ; extrait moteur, page non ouverte : proxy bloqué)</t>
        </is>
      </c>
      <c r="U2" t="inlineStr">
        <is>
          <t>https://www.greige.fr/products/taie-doreiller-en-soie (consulté 2026-10-02)</t>
        </is>
      </c>
    </row>
    <row r="3">
      <c r="A3" t="inlineStr">
        <is>
          <t>A02</t>
        </is>
      </c>
      <c r="B3" t="inlineStr">
        <is>
          <t>Carré de soie twill 90x90 imprimé (design propre)</t>
        </is>
      </c>
      <c r="C3" t="inlineStr">
        <is>
          <t>Chine</t>
        </is>
      </c>
      <c r="D3" t="inlineStr">
        <is>
          <t>≈75-80 % de la soie mondiale</t>
        </is>
      </c>
      <c r="E3" t="inlineStr">
        <is>
          <t>Hangzhou = capitale de l'impression numérique sur twill de soie ; ourlet roulotté main ; séries courtes</t>
        </is>
      </c>
      <c r="F3" t="inlineStr">
        <is>
          <t>21,75 € (haut de fourchette 10-25 USD, MOQ 10) (USD→EUR 0,87 = ESTIMATION taux)</t>
        </is>
      </c>
      <c r="G3" t="inlineStr">
        <is>
          <t>138,00 € (Anacoe, twill 90x90) ; Malfroy 230 € ; Léonard 320 €</t>
        </is>
      </c>
      <c r="H3" t="inlineStr">
        <is>
          <t>0,08 (ESTIMATION carré 14 mm + boîte)</t>
        </is>
      </c>
      <c r="I3" t="inlineStr">
        <is>
          <t>10 pcs (made-in-china) ; 50 pcs/design pour impression perso (extrait recherche)</t>
        </is>
      </c>
      <c r="J3" t="inlineStr">
        <is>
          <t>OK marge 74% (HT 115.00€ - CR 29.36€)</t>
        </is>
      </c>
      <c r="K3" t="inlineStr">
        <is>
          <t>OK 138 € TTC</t>
        </is>
      </c>
      <c r="L3" t="inlineStr">
        <is>
          <t>OK CR 29.36€ = 21.3% du TTC 138.00€</t>
        </is>
      </c>
      <c r="M3" t="inlineStr">
        <is>
          <t>OK &lt;0,1 kg, non fragile</t>
        </is>
      </c>
      <c r="N3" t="inlineStr">
        <is>
          <t>OK accessoire mode</t>
        </is>
      </c>
      <c r="O3" t="inlineStr">
        <is>
          <t>OK 10-50/design</t>
        </is>
      </c>
      <c r="P3" t="inlineStr">
        <is>
          <t>? Hermès = référence absolue mais segment créateurs 100-200 € fragmenté ; concurrence des carrés « made in France » (Anacoe, Malfroy)</t>
        </is>
      </c>
      <c r="Q3" t="inlineStr">
        <is>
          <t>RETENU</t>
        </is>
      </c>
      <c r="R3" t="inlineStr">
        <is>
          <t>Marge très forte ; enjeu = direction artistique ; prix comparés à des carrés fabriqués en France (argument origine moins fort)</t>
        </is>
      </c>
      <c r="S3" t="inlineStr">
        <is>
          <t>https://snsilk.com/top-silk-producing-countries/ (consulté 2026-10-02)</t>
        </is>
      </c>
      <c r="T3" t="inlineStr">
        <is>
          <t>https://silkshowing.en.made-in-china.com/product/JEdrzLgCbSWq/China-Custom-100-Pure-Mulberry-Beautiful-Silk-Scarf-with-Digital-Print.html (consulté 2026-10-02 ; extrait moteur)</t>
        </is>
      </c>
      <c r="U3" t="inlineStr">
        <is>
          <t>https://www.anacoe.fr/accessoires-pour-femme/95-carre-de-soie-modele-voile-90-cm-par-90-cm-en-twill-14-100-soie-tisse-imprime-et-confectionne-en-france.html ; https://www.shop.malfroy.com/products/carre-de-soie-90-soleil-en-mer-de-l-artiste-thuy-jaune (consulté 2026-10-02)</t>
        </is>
      </c>
    </row>
    <row r="4">
      <c r="A4" t="inlineStr">
        <is>
          <t>A03</t>
        </is>
      </c>
      <c r="B4" t="inlineStr">
        <is>
          <t>Écharpe 100 % cachemire de Mongolie (tissée)</t>
        </is>
      </c>
      <c r="C4" t="inlineStr">
        <is>
          <t>Mongolie / Mongolie-Intérieure (Chine)</t>
        </is>
      </c>
      <c r="D4" t="inlineStr">
        <is>
          <t>≈40 % du cachemire brut mondial (Mongolie)</t>
        </is>
      </c>
      <c r="E4" t="inlineStr">
        <is>
          <t>Origine fibre de référence ; ateliers d'Oulan-Bator et de Mongolie-Intérieure ; traçabilité possible (SFA)</t>
        </is>
      </c>
      <c r="F4" t="inlineStr">
        <is>
          <t>23,40 € (22,90-26,90 USD, MOQ 10, Mongolie-Intérieure) (USD→EUR 0,87 = ESTIMATION taux)</t>
        </is>
      </c>
      <c r="G4" t="inlineStr">
        <is>
          <t>129,90 € (haut de gamme Fibres des Steppes ; gamme 69,90-129,90 €) ; Saranguerel grande écharpe 228 €</t>
        </is>
      </c>
      <c r="H4" t="inlineStr">
        <is>
          <t>0,20 (ESTIMATION écharpe tissée ~180 g)</t>
        </is>
      </c>
      <c r="I4" t="inlineStr">
        <is>
          <t>10 pcs (Alibaba) ; usines mongoles souvent 50-100 (non vérifié)</t>
        </is>
      </c>
      <c r="J4" t="inlineStr">
        <is>
          <t>OK marge 71% (HT 108.25€ - CR 31.59€)</t>
        </is>
      </c>
      <c r="K4" t="inlineStr">
        <is>
          <t>OK ≥69,90 €</t>
        </is>
      </c>
      <c r="L4" t="inlineStr">
        <is>
          <t>OK CR 31.59€ = 24.3% du TTC 129.90€</t>
        </is>
      </c>
      <c r="M4" t="inlineStr">
        <is>
          <t>OK ≈0,2 kg</t>
        </is>
      </c>
      <c r="N4" t="inlineStr">
        <is>
          <t>OK textile</t>
        </is>
      </c>
      <c r="O4" t="inlineStr">
        <is>
          <t>OK MOQ 10</t>
        </is>
      </c>
      <c r="P4" t="inlineStr">
        <is>
          <t>? Marché cachemire FR dense (Eric Bompard, nombreuses marques DTC) ; niche « Mongolie tracée » occupée par Saranguerel, Artisans Mongols, Fibres des Steppes</t>
        </is>
      </c>
      <c r="Q4" t="inlineStr">
        <is>
          <t>RETENU</t>
        </is>
      </c>
      <c r="R4" t="inlineStr">
        <is>
          <t>c3 OK seulement à ≥120 € TTC (à 79 € : KO) ; prix usine = Mongolie-Intérieure, à re-sourcer en Mongolie ; c7 ?</t>
        </is>
      </c>
      <c r="S4" t="inlineStr">
        <is>
          <t>https://www.undp.org/mongolia/blog/cashmere-initiatives-working-together-improve-value-chain (consulté 2026-10-02)</t>
        </is>
      </c>
      <c r="T4" t="inlineStr">
        <is>
          <t>https://www.alibaba.com/showroom/mongolia-cashmere-scarf.html (consulté 2026-10-02 ; extrait moteur)</t>
        </is>
      </c>
      <c r="U4" t="inlineStr">
        <is>
          <t>https://fibresdessteppes.fr/collections/cachemire/ ; https://saranguerel.com/ (consulté 2026-10-02)</t>
        </is>
      </c>
    </row>
    <row r="5">
      <c r="A5" t="inlineStr">
        <is>
          <t>A04</t>
        </is>
      </c>
      <c r="B5" t="inlineStr">
        <is>
          <t>Écharpe en duvet de yak</t>
        </is>
      </c>
      <c r="C5" t="inlineStr">
        <is>
          <t>Chine (plateau tibétain) / Mongolie</t>
        </is>
      </c>
      <c r="D5" t="inlineStr">
        <is>
          <t>Chine ≈85 % de la laine de yak mondiale ; Mongolie+Asie centrale ≈15 %</t>
        </is>
      </c>
      <c r="E5" t="inlineStr">
        <is>
          <t>Fibre rare, douceur proche cachemire, récit « alternative durable au cachemire » ; peu de marques FR</t>
        </is>
      </c>
      <c r="F5" t="inlineStr">
        <is>
          <t>21,75 € (écharpe yak épaisse 21-25 USD, MOQ 1) (USD→EUR 0,87 = ESTIMATION taux)</t>
        </is>
      </c>
      <c r="G5" t="inlineStr">
        <is>
          <t>135,00 € (Les Sublimes, Solveig duvet de yak) ; Sentou 85 €</t>
        </is>
      </c>
      <c r="H5" t="inlineStr">
        <is>
          <t>0,20 (ESTIMATION)</t>
        </is>
      </c>
      <c r="I5" t="inlineStr">
        <is>
          <t>1-3 pcs (Alibaba) ; 100-150 standard tricot laine (guide Alibaba)</t>
        </is>
      </c>
      <c r="J5" t="inlineStr">
        <is>
          <t>OK marge 74% (HT 112.50€ - CR 29.36€)</t>
        </is>
      </c>
      <c r="K5" t="inlineStr">
        <is>
          <t>OK 85-135 €</t>
        </is>
      </c>
      <c r="L5" t="inlineStr">
        <is>
          <t>OK CR 29.36€ = 21.8% du TTC 135.00€</t>
        </is>
      </c>
      <c r="M5" t="inlineStr">
        <is>
          <t>OK</t>
        </is>
      </c>
      <c r="N5" t="inlineStr">
        <is>
          <t>OK textile</t>
        </is>
      </c>
      <c r="O5" t="inlineStr">
        <is>
          <t>OK</t>
        </is>
      </c>
      <c r="P5" t="inlineStr">
        <is>
          <t>OK niche peu occupée en FR (quelques références : Les Sublimes, Sentou, Artisans Mongols)</t>
        </is>
      </c>
      <c r="Q5" t="inlineStr">
        <is>
          <t>RETENU</t>
        </is>
      </c>
      <c r="R5" t="inlineStr">
        <is>
          <t>Positionnement premium ≥120 € indispensable (à 85 € : CR 34 % → KO c3) ; vérifier pureté (% yak) sur échantillon</t>
        </is>
      </c>
      <c r="S5" t="inlineStr">
        <is>
          <t>https://en.wikipedia.org/wiki/Yak_fiber (consulté 2026-10-02)</t>
        </is>
      </c>
      <c r="T5" t="inlineStr">
        <is>
          <t>https://www.alibaba.com/showroom/yak-wool-scarf.html (consulté 2026-10-02 ; extrait moteur)</t>
        </is>
      </c>
      <c r="U5" t="inlineStr">
        <is>
          <t>https://www.les-sublimes.com/products/echarpe-solveig ; https://sentou.fr/en/product-2/echarpe-laine-yak/ (consulté 2026-10-02)</t>
        </is>
      </c>
    </row>
    <row r="6">
      <c r="A6" t="inlineStr">
        <is>
          <t>A05</t>
        </is>
      </c>
      <c r="B6" t="inlineStr">
        <is>
          <t>Couteau de chef gyuto forgé de Seki</t>
        </is>
      </c>
      <c r="C6" t="inlineStr">
        <is>
          <t>Japon</t>
        </is>
      </c>
      <c r="D6" t="inlineStr">
        <is>
          <t>Seki ≈50 % de la production japonaise de couteaux (part mondiale introuvable)</t>
        </is>
      </c>
      <c r="E6" t="inlineStr">
        <is>
          <t>Savoir-faire coutelier (acier VG10/damas) ; fabricants OEM à Seki acceptant logo</t>
        </is>
      </c>
      <c r="F6" t="inlineStr">
        <is>
          <t>21,45 € (proxy : gyuto Seki Magoroku 24,66 USD MOQ 30 ; OEM molybdène logo 12,94-17,63 USD MOQ 6) (USD→EUR 0,87 = ESTIMATION taux)</t>
        </is>
      </c>
      <c r="G6" t="inlineStr">
        <is>
          <t>139,00 € (Atma Kitchenware, gyuto forgé à Seki)</t>
        </is>
      </c>
      <c r="H6" t="inlineStr">
        <is>
          <t>0,35 (ESTIMATION couteau 21 cm + étui/boîte)</t>
        </is>
      </c>
      <c r="I6" t="inlineStr">
        <is>
          <t>6-50 pcs selon fournisseur</t>
        </is>
      </c>
      <c r="J6" t="inlineStr">
        <is>
          <t>OK marge 75% (HT 115.83€ - CR 28.96€)</t>
        </is>
      </c>
      <c r="K6" t="inlineStr">
        <is>
          <t>OK 139 €</t>
        </is>
      </c>
      <c r="L6" t="inlineStr">
        <is>
          <t>OK CR 28.96€ = 20.8% du TTC 139.00€</t>
        </is>
      </c>
      <c r="M6" t="inlineStr">
        <is>
          <t>OK ≈0,35 kg, non fragile (étui requis)</t>
        </is>
      </c>
      <c r="N6" t="inlineStr">
        <is>
          <t>? Pas exclu ; vérifier politique publicitaire Meta/Google sur couteaux et règles d'envoi lames</t>
        </is>
      </c>
      <c r="O6" t="inlineStr">
        <is>
          <t>OK</t>
        </is>
      </c>
      <c r="P6" t="inlineStr">
        <is>
          <t>? Marché FR occupé par Kai/Shun et nombreux e-shops (Mygoodknife, Japanese Knife Company, Atma DTC) ; place premium existe</t>
        </is>
      </c>
      <c r="Q6" t="inlineStr">
        <is>
          <t>RETENU</t>
        </is>
      </c>
      <c r="R6" t="inlineStr">
        <is>
          <t>Chiffres OK mais prix usine = proxy de gamme moyenne vs détail forgé ; devis OEM forgé indispensable ; c5/c7 ?</t>
        </is>
      </c>
      <c r="S6" t="inlineStr">
        <is>
          <t>https://centrip-japan.com/article/1515.html (consulté 2026-10-02)</t>
        </is>
      </c>
      <c r="T6" t="inlineStr">
        <is>
          <t>https://www.alibaba.com/showroom/japan-sekis.html (consulté 2026-10-02 ; extrait moteur ; prix d'un gyuto forgé haut de gamme en OEM introuvable)</t>
        </is>
      </c>
      <c r="U6" t="inlineStr">
        <is>
          <t>https://atmakitchenware.fr/products/le-gyuto (consulté 2026-10-02)</t>
        </is>
      </c>
    </row>
    <row r="7">
      <c r="A7" t="inlineStr">
        <is>
          <t>A06</t>
        </is>
      </c>
      <c r="B7" t="inlineStr">
        <is>
          <t>Matcha cérémonial d'Uji (boîte 30 g)</t>
        </is>
      </c>
      <c r="C7" t="inlineStr">
        <is>
          <t>Japon</t>
        </is>
      </c>
      <c r="D7" t="inlineStr">
        <is>
          <t>Japon ≈40 % du matcha mondial (Chine ≈60 % en 2025) ; tencha JP 5 336 t en 2024</t>
        </is>
      </c>
      <c r="E7" t="inlineStr">
        <is>
          <t>Origine de référence mais pénurie 2025-26 et flambée des prix</t>
        </is>
      </c>
      <c r="F7" t="inlineStr">
        <is>
          <t>8,35 € pour 30 g (Uji cérémonial 180-320 USD/kg à MOQ 1 kg ; haut de fourchette) (USD→EUR 0,87 = ESTIMATION taux)</t>
        </is>
      </c>
      <c r="G7" t="inlineStr">
        <is>
          <t>34,00 € (Anatae, matcha cérémonie bio 30 g)</t>
        </is>
      </c>
      <c r="H7" t="inlineStr">
        <is>
          <t>0,06 (ESTIMATION boîte 30 g)</t>
        </is>
      </c>
      <c r="I7" t="inlineStr">
        <is>
          <t>1 kg vrac (≈33 boîtes) ; marque blanche variable</t>
        </is>
      </c>
      <c r="J7" t="inlineStr">
        <is>
          <t>KO marge 60% (HT 28.33€ - CR 11.28€)</t>
        </is>
      </c>
      <c r="K7" t="inlineStr">
        <is>
          <t>KO 34 € &lt; 40 € (sauf lot)</t>
        </is>
      </c>
      <c r="L7" t="inlineStr">
        <is>
          <t>KO CR 11.28€ = 33.2% du TTC 34.00€</t>
        </is>
      </c>
      <c r="M7" t="inlineStr">
        <is>
          <t>? DLUO matcha fréquemment ~12 mois (non sourcé) → risque &lt;18 mois</t>
        </is>
      </c>
      <c r="N7" t="inlineStr">
        <is>
          <t>OK alimentaire simple</t>
        </is>
      </c>
      <c r="O7" t="inlineStr">
        <is>
          <t>OK</t>
        </is>
      </c>
      <c r="P7" t="inlineStr">
        <is>
          <t>KO marché saturé (Palais des Thés, Nature &amp; Découvertes, multiples DTC) et approvisionnement tendu</t>
        </is>
      </c>
      <c r="Q7" t="inlineStr">
        <is>
          <t>ÉLIMINÉ</t>
        </is>
      </c>
      <c r="R7" t="inlineStr">
        <is>
          <t>c1 KO, c2 KO, c3 KO, c7 KO</t>
        </is>
      </c>
      <c r="S7" t="inlineStr">
        <is>
          <t>https://best-matcha.com/knowledge/industry-insights/beyond-japan-global-matcha-production-and-quality-differences ; https://maisonkoko.com/blogs/blog/matcha-shortage-2026 (consulté 2026-10-02)</t>
        </is>
      </c>
      <c r="T7" t="inlineStr">
        <is>
          <t>https://first-agri.jp/matcha/columns/understanding-matcha-pricing (consulté 2026-10-02)</t>
        </is>
      </c>
      <c r="U7" t="inlineStr">
        <is>
          <t>https://anatae.fr/products/matcha-ceremonie (consulté 2026-10-02)</t>
        </is>
      </c>
    </row>
    <row r="8">
      <c r="A8" t="inlineStr">
        <is>
          <t>A07</t>
        </is>
      </c>
      <c r="B8" t="inlineStr">
        <is>
          <t>Coffret 3 poivres de Kampot IGP (noir/rouge/blanc 3x120 g)</t>
        </is>
      </c>
      <c r="C8" t="inlineStr">
        <is>
          <t>Cambodge</t>
        </is>
      </c>
      <c r="D8" t="inlineStr">
        <is>
          <t>Kampot ≈70-100 t/an, part mondiale négligeable (Vietnam ≈150 000 t = 34 %) ; avantage = IGP, pas le volume</t>
        </is>
      </c>
      <c r="E8" t="inlineStr">
        <is>
          <t>IGP reconnue, prix producteurs fixés par l'association (KPPA) ; produit gourmet à forte notoriété FR</t>
        </is>
      </c>
      <c r="F8" t="inlineStr">
        <is>
          <t>7,10 € pour 360 g (prix KPPA 15/25/28 USD/kg noir/rouge/blanc) (USD→EUR 0,87 = ESTIMATION taux) ; emballage premium NON inclus</t>
        </is>
      </c>
      <c r="G8" t="inlineStr">
        <is>
          <t>52,12 € (coffret 3 poivres KHLA 3x120 g)</t>
        </is>
      </c>
      <c r="H8" t="inlineStr">
        <is>
          <t>0,45 (ESTIMATION 360 g + boîte)</t>
        </is>
      </c>
      <c r="I8" t="inlineStr">
        <is>
          <t>introuvable ; proxy : vente au kg par producteurs (KPPA)</t>
        </is>
      </c>
      <c r="J8" t="inlineStr">
        <is>
          <t>OK marge 78% (HT 43.43€ - CR 9.58€)</t>
        </is>
      </c>
      <c r="K8" t="inlineStr">
        <is>
          <t>OK 52 €</t>
        </is>
      </c>
      <c r="L8" t="inlineStr">
        <is>
          <t>OK CR 9.58€ = 18.4% du TTC 52.12€</t>
        </is>
      </c>
      <c r="M8" t="inlineStr">
        <is>
          <t>? DLUO poivre en grains généralement ≥2 ans (non sourcé, à confirmer) ; non fragile</t>
        </is>
      </c>
      <c r="N8" t="inlineStr">
        <is>
          <t>OK alimentaire simple (gain chiffré : marge &gt;75 %)</t>
        </is>
      </c>
      <c r="O8" t="inlineStr">
        <is>
          <t>OK (achat au kg)</t>
        </is>
      </c>
      <c r="P8" t="inlineStr">
        <is>
          <t>? Fragmenté mais nombreux acteurs (Lippée, KHLA, Eric Bur, Max Daumin, Cavya, Comptoir de Toamasina)</t>
        </is>
      </c>
      <c r="Q8" t="inlineStr">
        <is>
          <t>RETENU</t>
        </is>
      </c>
      <c r="R8" t="inlineStr">
        <is>
          <t>Marges OK même avec +3-4 € d'emballage ; saisonnalité cadeau ; c7 à creuser</t>
        </is>
      </c>
      <c r="S8" t="inlineStr">
        <is>
          <t>https://en.wikipedia.org/wiki/Kampot_pepper (consulté 2026-10-02)</t>
        </is>
      </c>
      <c r="T8" t="inlineStr">
        <is>
          <t>https://www.fao.org/one-country-one-priority-product/asia-pacific/good-practices/detail/cambodia-s-kampot-pepper/en (consulté 2026-10-02)</t>
        </is>
      </c>
      <c r="U8" t="inlineStr">
        <is>
          <t>https://www.epices-khla.com/ (consulté 2026-10-02 ; fiche exacte non récupérée, extrait moteur)</t>
        </is>
      </c>
    </row>
    <row r="9">
      <c r="A9" t="inlineStr">
        <is>
          <t>A08</t>
        </is>
      </c>
      <c r="B9" t="inlineStr">
        <is>
          <t>Sac rond en rotin de Bali (ata/rotin, bandoulière cuir)</t>
        </is>
      </c>
      <c r="C9" t="inlineStr">
        <is>
          <t>Indonésie</t>
        </is>
      </c>
      <c r="D9" t="inlineStr">
        <is>
          <t>≈80 % du rotin mondial ; 42,2 % des exportations mondiales de rotin transformé</t>
        </is>
      </c>
      <c r="E9" t="inlineStr">
        <is>
          <t>Matière première et artisans à Bali/Lombok</t>
        </is>
      </c>
      <c r="F9" t="inlineStr">
        <is>
          <t>13,05 € (8-15 USD ex-usine qualité moyenne ; haut de fourchette) (USD→EUR 0,87 = ESTIMATION taux)</t>
        </is>
      </c>
      <c r="G9" t="inlineStr">
        <is>
          <t>69,90 € (haut de gamme Sac Balinais ; gamme 39,90-69,90 €)</t>
        </is>
      </c>
      <c r="H9" t="inlineStr">
        <is>
          <t>0,45 (ESTIMATION)</t>
        </is>
      </c>
      <c r="I9" t="inlineStr">
        <is>
          <t>1-100 pcs</t>
        </is>
      </c>
      <c r="J9" t="inlineStr">
        <is>
          <t>OK marge 70% (HT 58.25€ - CR 17.62€)</t>
        </is>
      </c>
      <c r="K9" t="inlineStr">
        <is>
          <t>? la plupart des offres FR à 34-49,90 €</t>
        </is>
      </c>
      <c r="L9" t="inlineStr">
        <is>
          <t>KO CR 17.62€ = 25.2% du TTC 69.90€</t>
        </is>
      </c>
      <c r="M9" t="inlineStr">
        <is>
          <t>OK rigide, non fragile</t>
        </is>
      </c>
      <c r="N9" t="inlineStr">
        <is>
          <t>OK</t>
        </is>
      </c>
      <c r="O9" t="inlineStr">
        <is>
          <t>OK</t>
        </is>
      </c>
      <c r="P9" t="inlineStr">
        <is>
          <t>KO saturé de boutiques (SacBali, Sac Balinais, Myroundbag, Etsy) à 30-50 € ; pas de place premium claire</t>
        </is>
      </c>
      <c r="Q9" t="inlineStr">
        <is>
          <t>ÉLIMINÉ</t>
        </is>
      </c>
      <c r="R9" t="inlineStr">
        <is>
          <t>c3 KO (25,2 % au prix le plus haut constaté), c7 KO</t>
        </is>
      </c>
      <c r="S9" t="inlineStr">
        <is>
          <t>https://en.tempo.co/read/1896254/indonesia-is-worlds-largest-exports-of-processed-rattan-industry-ministry ; https://www.indonesiarattanfurniture.com/2018/04/25/indonesia-the-worlds-biggest-rattan-producer/ (consulté 2026-10-02)</t>
        </is>
      </c>
      <c r="T9" t="inlineStr">
        <is>
          <t>https://apparel.alibaba.com/product/rattan-bag-indonesia (consulté 2026-10-02 ; extrait moteur)</t>
        </is>
      </c>
      <c r="U9" t="inlineStr">
        <is>
          <t>https://sacbalinais.fr/ (consulté 2026-10-02)</t>
        </is>
      </c>
    </row>
    <row r="10">
      <c r="A10" t="inlineStr">
        <is>
          <t>A09</t>
        </is>
      </c>
      <c r="B10" t="inlineStr">
        <is>
          <t>Cabas/sac tissé main en abaca</t>
        </is>
      </c>
      <c r="C10" t="inlineStr">
        <is>
          <t>Philippines</t>
        </is>
      </c>
      <c r="D10" t="inlineStr">
        <is>
          <t>≈85-87 % de l'abaca mondial</t>
        </is>
      </c>
      <c r="E10" t="inlineStr">
        <is>
          <t>Quasi-monopole de la fibre ; coopératives artisanales ; peu connu en FR (différenciant vs rotin/raphia)</t>
        </is>
      </c>
      <c r="F10" t="inlineStr">
        <is>
          <t>5,22 € (proxy 2-6 USD sacs abaca basiques ; prix d'un sac artisanal premium introuvable) (USD→EUR 0,87 = ESTIMATION taux)</t>
        </is>
      </c>
      <c r="G10" t="inlineStr">
        <is>
          <t>91,42 € (cabas abaca tissé main, Etsy FR) ; Aranaz Nona 280 €</t>
        </is>
      </c>
      <c r="H10" t="inlineStr">
        <is>
          <t>0,40 (ESTIMATION)</t>
        </is>
      </c>
      <c r="I10" t="inlineStr">
        <is>
          <t>100-500 pcs pour modèles perso (guide Alibaba)</t>
        </is>
      </c>
      <c r="J10" t="inlineStr">
        <is>
          <t>OK marge 91% (HT 76.18€ - CR 7.05€)</t>
        </is>
      </c>
      <c r="K10" t="inlineStr">
        <is>
          <t>OK</t>
        </is>
      </c>
      <c r="L10" t="inlineStr">
        <is>
          <t>OK CR 7.05€ = 7.7% du TTC 91.42€</t>
        </is>
      </c>
      <c r="M10" t="inlineStr">
        <is>
          <t>OK souple, non fragile</t>
        </is>
      </c>
      <c r="N10" t="inlineStr">
        <is>
          <t>OK</t>
        </is>
      </c>
      <c r="O10" t="inlineStr">
        <is>
          <t>? 100-500 : limite budget</t>
        </is>
      </c>
      <c r="P10" t="inlineStr">
        <is>
          <t>OK peu d'acteurs en FR (Aranaz très haut de gamme, Etsy)</t>
        </is>
      </c>
      <c r="Q10" t="inlineStr">
        <is>
          <t>RETENU</t>
        </is>
      </c>
      <c r="R10" t="inlineStr">
        <is>
          <t>Calcul sur proxy bas de gamme → c1/c3 à reconfirmer avec devis artisanal (marge de sécurité large : CR 7,7 % du TTC) ; MOQ à négocier</t>
        </is>
      </c>
      <c r="S10" t="inlineStr">
        <is>
          <t>https://tribune.net.ph/2026/05/22/phl-abaca-export-reaches-76961-mtphilfida ; https://naturalfibersinfo.org/?page_id=83 (consulté 2026-10-02)</t>
        </is>
      </c>
      <c r="T10" t="inlineStr">
        <is>
          <t>https://smartbuy.alibaba.com/buyingguides/abaca-bags (consulté 2026-10-02 ; extrait moteur)</t>
        </is>
      </c>
      <c r="U10" t="inlineStr">
        <is>
          <t>https://www.etsy.com/fr/market/abaca_bags ; https://toulouseboutiques.com/Toulouse/maroquinerie-toulouse/maroquinerie-femme-toulouse/sac-a-main-toulouse/sac-seau-avec-coquillages-nona-aranaz/ (consulté 2026-10-02)</t>
        </is>
      </c>
    </row>
    <row r="11">
      <c r="A11" t="inlineStr">
        <is>
          <t>A10</t>
        </is>
      </c>
      <c r="B11" t="inlineStr">
        <is>
          <t>Collier perle d'eau douce et argent 925</t>
        </is>
      </c>
      <c r="C11" t="inlineStr">
        <is>
          <t>Chine (Zhuji)</t>
        </is>
      </c>
      <c r="D11" t="inlineStr">
        <is>
          <t>Chine ≈75-95 % des perles d'eau douce mondiales ; Zhuji ≈73 % du monde (2024)</t>
        </is>
      </c>
      <c r="E11" t="inlineStr">
        <is>
          <t>Zhuji = hub mondial (culture + montage) ; MOQ très bas ; marge bijou</t>
        </is>
      </c>
      <c r="F11" t="inlineStr">
        <is>
          <t>12,44 € (ensemble perle 8 mm argent 925, 14-14,30 USD) (USD→EUR 0,87 = ESTIMATION taux)</t>
        </is>
      </c>
      <c r="G11" t="inlineStr">
        <is>
          <t>86,00 € (Isaure, perles d'eau douce + argent 925) ; France Perles 56-199 €</t>
        </is>
      </c>
      <c r="H11" t="inlineStr">
        <is>
          <t>0,05 (ESTIMATION avec écrin)</t>
        </is>
      </c>
      <c r="I11" t="inlineStr">
        <is>
          <t>1-50 pcs</t>
        </is>
      </c>
      <c r="J11" t="inlineStr">
        <is>
          <t>OK marge 77% (HT 71.67€ - CR 16.80€)</t>
        </is>
      </c>
      <c r="K11" t="inlineStr">
        <is>
          <t>OK</t>
        </is>
      </c>
      <c r="L11" t="inlineStr">
        <is>
          <t>OK CR 16.80€ = 19.5% du TTC 86.00€</t>
        </is>
      </c>
      <c r="M11" t="inlineStr">
        <is>
          <t>OK léger, non fragile (perle à protéger)</t>
        </is>
      </c>
      <c r="N11" t="inlineStr">
        <is>
          <t>OK bijou (vérifier poinçon/garantie argent et REACH nickel)</t>
        </is>
      </c>
      <c r="O11" t="inlineStr">
        <is>
          <t>OK</t>
        </is>
      </c>
      <c r="P11" t="inlineStr">
        <is>
          <t>? Bijou fantaisie/fin très concurrentiel mais sans leader ; place premium via perles grade AAA + design</t>
        </is>
      </c>
      <c r="Q11" t="inlineStr">
        <is>
          <t>RETENU</t>
        </is>
      </c>
      <c r="R11" t="inlineStr">
        <is>
          <t>Meilleur ratio coût/prix ; risque concurrence, contrôle qualité perles</t>
        </is>
      </c>
      <c r="S11" t="inlineStr">
        <is>
          <t>https://en.wikipedia.org/wiki/Pearl_farming_industry_in_China ; https://www.robertwan.com/blog/pearl-industry-an-introduction (consulté 2026-10-02)</t>
        </is>
      </c>
      <c r="T11" t="inlineStr">
        <is>
          <t>https://pearlworld.en.alibaba.com/ (consulté 2026-10-02 ; Zhuji Feirun, extrait moteur)</t>
        </is>
      </c>
      <c r="U11" t="inlineStr">
        <is>
          <t>https://isaure-bijoux.com/products/collier-perles-deau-plaque-or-copie ; https://www.france-perles.fr/boutiques/colliers-perles/colliers-perles-deau-douce/ (consulté 2026-10-02)</t>
        </is>
      </c>
    </row>
    <row r="12">
      <c r="A12" t="inlineStr">
        <is>
          <t>A11</t>
        </is>
      </c>
      <c r="B12" t="inlineStr">
        <is>
          <t>Tenugui (teinture chusen) / furoshiki</t>
        </is>
      </c>
      <c r="C12" t="inlineStr">
        <is>
          <t>Japon</t>
        </is>
      </c>
      <c r="D12" t="inlineStr">
        <is>
          <t>introuvable ; proxy : technique chusen propre au Japon (artisanat local)</t>
        </is>
      </c>
      <c r="E12" t="inlineStr">
        <is>
          <t>Savoir-faire chusen (Hamamatsu/Osaka), produit authentique</t>
        </is>
      </c>
      <c r="F12" t="inlineStr">
        <is>
          <t>6,59 € (1 121 JPY/pc pour 92 pcs ; 1 EUR = 170 JPY ESTIMATION)</t>
        </is>
      </c>
      <c r="G12" t="inlineStr">
        <is>
          <t>22,90 € (Moshi Moshi Paris, tenugui made in Japan)</t>
        </is>
      </c>
      <c r="H12" t="inlineStr">
        <is>
          <t>0,05 (ESTIMATION)</t>
        </is>
      </c>
      <c r="I12" t="inlineStr">
        <is>
          <t>72-100 pcs (chusen perso)</t>
        </is>
      </c>
      <c r="J12" t="inlineStr">
        <is>
          <t>KO marge 53% (HT 19.08€ - CR 8.90€)</t>
        </is>
      </c>
      <c r="K12" t="inlineStr">
        <is>
          <t>KO 22,90 € &lt; 40 €</t>
        </is>
      </c>
      <c r="L12" t="inlineStr">
        <is>
          <t>KO CR 8.90€ = 38.9% du TTC 22.90€</t>
        </is>
      </c>
      <c r="M12" t="inlineStr">
        <is>
          <t>OK</t>
        </is>
      </c>
      <c r="N12" t="inlineStr">
        <is>
          <t>OK</t>
        </is>
      </c>
      <c r="O12" t="inlineStr">
        <is>
          <t>OK</t>
        </is>
      </c>
      <c r="P12" t="inlineStr">
        <is>
          <t>? niche, offre déjà présente (Moshi Moshi, Univers du Japon)</t>
        </is>
      </c>
      <c r="Q12" t="inlineStr">
        <is>
          <t>ÉLIMINÉ</t>
        </is>
      </c>
      <c r="R12" t="inlineStr">
        <is>
          <t>c1 KO, c2 KO, c3 KO</t>
        </is>
      </c>
      <c r="S12" t="inlineStr">
        <is>
          <t>http://www.melcer.jp/tenugui/c_order/index.html (consulté 2026-10-02)</t>
        </is>
      </c>
      <c r="T12" t="inlineStr">
        <is>
          <t>https://sarashi-binding.net/customized-tenugui/ ; http://www.melcer.jp/tenugui/c_order/index.html (consulté 2026-10-02 ; extrait moteur)</t>
        </is>
      </c>
      <c r="U12" t="inlineStr">
        <is>
          <t>https://www.moshimoshiparis.com/collections/tenugui (consulté 2026-10-02)</t>
        </is>
      </c>
    </row>
    <row r="13">
      <c r="A13" t="inlineStr">
        <is>
          <t>A12</t>
        </is>
      </c>
      <c r="B13" t="inlineStr">
        <is>
          <t>Encens japonais d'Awaji (coffret)</t>
        </is>
      </c>
      <c r="C13" t="inlineStr">
        <is>
          <t>Japon</t>
        </is>
      </c>
      <c r="D13" t="inlineStr">
        <is>
          <t>&gt;70 % de l'encens japonais produit à Awaji (part mondiale introuvable)</t>
        </is>
      </c>
      <c r="E13" t="inlineStr">
        <is>
          <t>Savoir-faire koh-shi ; produit premium</t>
        </is>
      </c>
      <c r="F13" t="inlineStr">
        <is>
          <t>7,40 € (proxy : boîte 30 bâtonnets Nippon Kodo 7,41-8,50 USD MOQ 180 ; prix OEM Awaji introuvable) (USD→EUR 0,87 = ESTIMATION taux)</t>
        </is>
      </c>
      <c r="G13" t="inlineStr">
        <is>
          <t>35,00 € (coffret Awase 36 bâtonnets + porte-encens, Le Japonais)</t>
        </is>
      </c>
      <c r="H13" t="inlineStr">
        <is>
          <t>0,15 (ESTIMATION)</t>
        </is>
      </c>
      <c r="I13" t="inlineStr">
        <is>
          <t>180 boîtes (proxy) ; packaging perso 500-3 000 (extrait)</t>
        </is>
      </c>
      <c r="J13" t="inlineStr">
        <is>
          <t>OK marge 66% (HT 29.17€ - CR 9.98€)</t>
        </is>
      </c>
      <c r="K13" t="inlineStr">
        <is>
          <t>KO 35 € &lt; 40 €</t>
        </is>
      </c>
      <c r="L13" t="inlineStr">
        <is>
          <t>KO CR 9.98€ = 28.5% du TTC 35.00€</t>
        </is>
      </c>
      <c r="M13" t="inlineStr">
        <is>
          <t>OK</t>
        </is>
      </c>
      <c r="N13" t="inlineStr">
        <is>
          <t>? produit parfumé d'ambiance proche du bakhoor/parfum écartés par le fondateur ; étiquetage CLP</t>
        </is>
      </c>
      <c r="O13" t="inlineStr">
        <is>
          <t>? 180+</t>
        </is>
      </c>
      <c r="P13" t="inlineStr">
        <is>
          <t>? offre FR existante (Univers du Japon, Daily Japon, ARS)</t>
        </is>
      </c>
      <c r="Q13" t="inlineStr">
        <is>
          <t>ÉLIMINÉ</t>
        </is>
      </c>
      <c r="R13" t="inlineStr">
        <is>
          <t>c2 KO, c3 KO, c5 ? (proximité exclusion parfum/bakhoor)</t>
        </is>
      </c>
      <c r="S13" t="inlineStr">
        <is>
          <t>https://www.japanhousela.com/articles/sensory-journeys-in-japan-awaji-island/ (consulté 2026-10-02)</t>
        </is>
      </c>
      <c r="T13" t="inlineStr">
        <is>
          <t>https://www.alibaba.com/showroom/japanese-incense-sticks.html (consulté 2026-10-02 ; extrait moteur)</t>
        </is>
      </c>
      <c r="U13" t="inlineStr">
        <is>
          <t>https://www.lejaponais.fr/produit/444-coffret-encens-awase/ (consulté 2026-10-02)</t>
        </is>
      </c>
    </row>
    <row r="14">
      <c r="A14" t="inlineStr">
        <is>
          <t>A13</t>
        </is>
      </c>
      <c r="B14" t="inlineStr">
        <is>
          <t>Taies d'oreiller en lin lavé (lot de 2)</t>
        </is>
      </c>
      <c r="C14" t="inlineStr">
        <is>
          <t>Chine</t>
        </is>
      </c>
      <c r="D14" t="inlineStr">
        <is>
          <t>Chine ≈56 % des exportations mondiales de linge/tissu de lin (export, pas culture)</t>
        </is>
      </c>
      <c r="E14" t="inlineStr">
        <is>
          <t>Filature/tissage du lin (lin brut importé d'Europe)</t>
        </is>
      </c>
      <c r="F14" t="inlineStr">
        <is>
          <t>8,09 € le lot (8,30-9,30 USD/set, MOQ 1 000 sets) (USD→EUR 0,87 = ESTIMATION taux)</t>
        </is>
      </c>
      <c r="G14" t="inlineStr">
        <is>
          <t>65,00 € (Greige, lot de 2 lin lavé français)</t>
        </is>
      </c>
      <c r="H14" t="inlineStr">
        <is>
          <t>0,45 (ESTIMATION lot de 2)</t>
        </is>
      </c>
      <c r="I14" t="inlineStr">
        <is>
          <t>1 000 sets</t>
        </is>
      </c>
      <c r="J14" t="inlineStr">
        <is>
          <t>OK marge 80% (HT 54.17€ - CR 10.92€)</t>
        </is>
      </c>
      <c r="K14" t="inlineStr">
        <is>
          <t>OK</t>
        </is>
      </c>
      <c r="L14" t="inlineStr">
        <is>
          <t>OK CR 10.92€ = 16.8% du TTC 65.00€</t>
        </is>
      </c>
      <c r="M14" t="inlineStr">
        <is>
          <t>OK</t>
        </is>
      </c>
      <c r="N14" t="inlineStr">
        <is>
          <t>OK</t>
        </is>
      </c>
      <c r="O14" t="inlineStr">
        <is>
          <t>KO MOQ 1 000</t>
        </is>
      </c>
      <c r="P14" t="inlineStr">
        <is>
          <t>KO marché saturé (La Redoute AM.PM, H&amp;M Home, Linvosges, Greige…) et « lin français » valorisé vs lin chinois</t>
        </is>
      </c>
      <c r="Q14" t="inlineStr">
        <is>
          <t>ÉLIMINÉ</t>
        </is>
      </c>
      <c r="R14" t="inlineStr">
        <is>
          <t>c6 KO, c7 KO</t>
        </is>
      </c>
      <c r="S14" t="inlineStr">
        <is>
          <t>https://www.linenwind.com/blog/Which-country-is-the-largest-producer-of-linen_b6307 (consulté 2026-10-02)</t>
        </is>
      </c>
      <c r="T14" t="inlineStr">
        <is>
          <t>https://www.alibaba.com/showroom/linen-pillowcase.html (consulté 2026-10-02 ; extrait moteur)</t>
        </is>
      </c>
      <c r="U14" t="inlineStr">
        <is>
          <t>https://www.greige.fr/collections/taies-doreiller-lin-lave-francais (consulté 2026-10-02)</t>
        </is>
      </c>
    </row>
    <row r="15">
      <c r="A15" t="inlineStr">
        <is>
          <t>A14</t>
        </is>
      </c>
      <c r="B15" t="inlineStr">
        <is>
          <t>Serviettes éponge d'Imabari (visage + bain)</t>
        </is>
      </c>
      <c r="C15" t="inlineStr">
        <is>
          <t>Japon</t>
        </is>
      </c>
      <c r="D15" t="inlineStr">
        <is>
          <t>Imabari ≈50-60 % de la production japonaise de serviettes (part mondiale négligeable)</t>
        </is>
      </c>
      <c r="E15" t="inlineStr">
        <is>
          <t>Label Imabari (absorption certifiée), notoriété « luxe discret »</t>
        </is>
      </c>
      <c r="F15" t="inlineStr">
        <is>
          <t>introuvable (prix sur devis / inscription) ; proxy : pour c3 OK, CR max = 7,25 € à 29 € TTC</t>
        </is>
      </c>
      <c r="G15" t="inlineStr">
        <is>
          <t>29,00 € (serviette visage) ; 39 € (bain)</t>
        </is>
      </c>
      <c r="H15" t="inlineStr">
        <is>
          <t>0,6 (ESTIMATION set visage+bain)</t>
        </is>
      </c>
      <c r="I15" t="inlineStr">
        <is>
          <t>100 pcs (Maruyama Towel)</t>
        </is>
      </c>
      <c r="J15" t="inlineStr">
        <is>
          <t>? prix usine introuvable</t>
        </is>
      </c>
      <c r="K15" t="inlineStr">
        <is>
          <t>OK en set (≈68 €)</t>
        </is>
      </c>
      <c r="L15" t="inlineStr">
        <is>
          <t>? prix usine introuvable (CR max admissible 7,25 €)</t>
        </is>
      </c>
      <c r="M15" t="inlineStr">
        <is>
          <t>OK si set ≤1 kg</t>
        </is>
      </c>
      <c r="N15" t="inlineStr">
        <is>
          <t>OK</t>
        </is>
      </c>
      <c r="O15" t="inlineStr">
        <is>
          <t>OK 100</t>
        </is>
      </c>
      <c r="P15" t="inlineStr">
        <is>
          <t>OK niche en FR</t>
        </is>
      </c>
      <c r="Q15" t="inlineStr">
        <is>
          <t>ÉLIMINÉ</t>
        </is>
      </c>
      <c r="R15" t="inlineStr">
        <is>
          <t>c1/c3 non démontrables (prix usine introuvable) ; revendeurs FR déjà à 29 € → marge 65 % improbable ; à rouvrir si devis</t>
        </is>
      </c>
      <c r="S15" t="inlineStr">
        <is>
          <t>https://japanobjects.com/features/imabari (consulté 2026-10-02)</t>
        </is>
      </c>
      <c r="T15" t="inlineStr">
        <is>
          <t>https://maruyamatowel.co.jp/lp01/en/ (consulté 2026-10-02 ; MOQ 100, prix non publié)</t>
        </is>
      </c>
      <c r="U15" t="inlineStr">
        <is>
          <t>https://utileetordinaire.com/products/serviette-visage-imabari (consulté 2026-10-02)</t>
        </is>
      </c>
    </row>
    <row r="16">
      <c r="A16" t="inlineStr">
        <is>
          <t>A15</t>
        </is>
      </c>
      <c r="B16" t="inlineStr">
        <is>
          <t>Étole en soie thaïe tissée main</t>
        </is>
      </c>
      <c r="C16" t="inlineStr">
        <is>
          <t>Thaïlande</t>
        </is>
      </c>
      <c r="D16" t="inlineStr">
        <is>
          <t>Exportations thaïes ≈0,1 % de la production mondiale de soie (avantage = savoir-faire, pas volume)</t>
        </is>
      </c>
      <c r="E16" t="inlineStr">
        <is>
          <t>Tissage main d'Isan, notoriété Jim Thompson</t>
        </is>
      </c>
      <c r="F16" t="inlineStr">
        <is>
          <t>14,79 € (étole soie tissée main 5-17 USD, MOQ 50 ; haut de fourchette) (USD→EUR 0,87 = ESTIMATION taux)</t>
        </is>
      </c>
      <c r="G16" t="inlineStr">
        <is>
          <t>89,00 € (étole soie, Princesse Foulard) ; Soieries du Mékong 120 €</t>
        </is>
      </c>
      <c r="H16" t="inlineStr">
        <is>
          <t>0,15 (ESTIMATION)</t>
        </is>
      </c>
      <c r="I16" t="inlineStr">
        <is>
          <t>50 pcs</t>
        </is>
      </c>
      <c r="J16" t="inlineStr">
        <is>
          <t>OK marge 73% (HT 74.17€ - CR 19.97€)</t>
        </is>
      </c>
      <c r="K16" t="inlineStr">
        <is>
          <t>OK</t>
        </is>
      </c>
      <c r="L16" t="inlineStr">
        <is>
          <t>OK CR 19.97€ = 22.4% du TTC 89.00€</t>
        </is>
      </c>
      <c r="M16" t="inlineStr">
        <is>
          <t>OK</t>
        </is>
      </c>
      <c r="N16" t="inlineStr">
        <is>
          <t>OK</t>
        </is>
      </c>
      <c r="O16" t="inlineStr">
        <is>
          <t>OK</t>
        </is>
      </c>
      <c r="P16" t="inlineStr">
        <is>
          <t>OK niche (Soieries du Mékong, boutiques ethniques)</t>
        </is>
      </c>
      <c r="Q16" t="inlineStr">
        <is>
          <t>RETENU</t>
        </is>
      </c>
      <c r="R16" t="inlineStr">
        <is>
          <t>Prix usine bas suspect pour du « tissé main » : authenticité/composition à tester ; argument pays faible en volume</t>
        </is>
      </c>
      <c r="S16" t="inlineStr">
        <is>
          <t>https://en.wikipedia.org/wiki/Thai_silk (consulté 2026-10-02)</t>
        </is>
      </c>
      <c r="T16" t="inlineStr">
        <is>
          <t>https://www.alibaba.com/showroom/thailand-scarf.html (consulté 2026-10-02 ; extrait moteur)</t>
        </is>
      </c>
      <c r="U16" t="inlineStr">
        <is>
          <t>https://www.princessefoulard.com/blog/tissu/soie/la-soie-thailandaise/ ; https://soieriesdumekong.com/products/etole-unie-en-soie-noire-hom (consulté 2026-10-02)</t>
        </is>
      </c>
    </row>
    <row r="17">
      <c r="A17" t="inlineStr">
        <is>
          <t>A16</t>
        </is>
      </c>
      <c r="B17" t="inlineStr">
        <is>
          <t>Bols laqués (coco/bambou) – set</t>
        </is>
      </c>
      <c r="C17" t="inlineStr">
        <is>
          <t>Vietnam</t>
        </is>
      </c>
      <c r="D17" t="inlineStr">
        <is>
          <t>introuvable ; proxy : 64 fabricants/exportateurs de laque recensés au Vietnam</t>
        </is>
      </c>
      <c r="E17" t="inlineStr">
        <is>
          <t>Laque son mài, artisans de Hanoï/Binh Duong ; capacité 50 000 pcs/mois</t>
        </is>
      </c>
      <c r="F17" t="inlineStr">
        <is>
          <t>1,31 €/bol (0,80-1,50 USD, MOQ 50-150) (USD→EUR 0,87 = ESTIMATION taux)</t>
        </is>
      </c>
      <c r="G17" t="inlineStr">
        <is>
          <t>10,90 €/bol (Les Trésors du Vietnam)</t>
        </is>
      </c>
      <c r="H17" t="inlineStr">
        <is>
          <t>0,1/bol (ESTIMATION)</t>
        </is>
      </c>
      <c r="I17" t="inlineStr">
        <is>
          <t>50-150 pcs/coloris</t>
        </is>
      </c>
      <c r="J17" t="inlineStr">
        <is>
          <t>OK marge 81% (HT 9.08€ - CR 1.76€)</t>
        </is>
      </c>
      <c r="K17" t="inlineStr">
        <is>
          <t>KO ≈11 €/bol ; set de 4 ≈44 € non constaté</t>
        </is>
      </c>
      <c r="L17" t="inlineStr">
        <is>
          <t>OK CR 1.76€ = 16.2% du TTC 10.90€</t>
        </is>
      </c>
      <c r="M17" t="inlineStr">
        <is>
          <t>? léger mais laque rayable</t>
        </is>
      </c>
      <c r="N17" t="inlineStr">
        <is>
          <t>OK (contact alimentaire : conformité à vérifier)</t>
        </is>
      </c>
      <c r="O17" t="inlineStr">
        <is>
          <t>OK</t>
        </is>
      </c>
      <c r="P17" t="inlineStr">
        <is>
          <t>? offre FR bas de gamme, positionnement premium non démontré</t>
        </is>
      </c>
      <c r="Q17" t="inlineStr">
        <is>
          <t>ÉLIMINÉ</t>
        </is>
      </c>
      <c r="R17" t="inlineStr">
        <is>
          <t>c2 KO (prix détail constaté trop bas)</t>
        </is>
      </c>
      <c r="S17" t="inlineStr">
        <is>
          <t>https://www.tradewheel.com/lacquerware/vietnam/ (consulté 2026-10-02)</t>
        </is>
      </c>
      <c r="T17" t="inlineStr">
        <is>
          <t>https://www.alibaba.com/showroom/vietnamese-lacquerware.html ; https://coconutfriendly.com/product/vietnam-lacquered-coconut-bowl-cf_8601-cf_8837/ (consulté 2026-10-02 ; extrait moteur)</t>
        </is>
      </c>
      <c r="U17" t="inlineStr">
        <is>
          <t>https://www.lestresorsduvietnam.fr/produit/bol-noix-de-coco-motifs-petales/ (consulté 2026-10-02)</t>
        </is>
      </c>
    </row>
    <row r="18">
      <c r="A18" t="inlineStr">
        <is>
          <t>B01</t>
        </is>
      </c>
      <c r="B18" t="inlineStr">
        <is>
          <t>Kimono / peignoir coton imprimé au bloc (hand block print)</t>
        </is>
      </c>
      <c r="C18" t="inlineStr">
        <is>
          <t>Inde (Jaipur/Sanganer)</t>
        </is>
      </c>
      <c r="D18" t="inlineStr">
        <is>
          <t>Donnée mondiale introuvable ; proxy : Sanganer = IG (indication géographique) 2010, 315+ unités et 1 800-3 000 artisans</t>
        </is>
      </c>
      <c r="E18" t="inlineStr">
        <is>
          <t>Savoir-faire unique (blocs bois sculptés, IG Sanganeri) ; écosystème complet tissu-impression-confection à Jaipur</t>
        </is>
      </c>
      <c r="F18" t="inlineStr">
        <is>
          <t>7,50 € (₹750/pièce kimono long ; ₹550 version courte) — ESTIMATION taux : 1 € = 100 INR ; 1 USD = 0,86 € ; 1 € = 350 LKR</t>
        </is>
      </c>
      <c r="G18" t="inlineStr">
        <is>
          <t>83,33 € (prix plein Jamini Design, kimono coton imprimé main en Inde)</t>
        </is>
      </c>
      <c r="H18" t="inlineStr">
        <is>
          <t>0,35 (ESTIMATION : yukata coton 300-500 g, kimono voile plus léger)</t>
        </is>
      </c>
      <c r="I18" t="inlineStr">
        <is>
          <t>50 pièces (Bandasar Craft House, Jaipur) ; https://www.bandasarcrafthouse.com/kimono-robe.html</t>
        </is>
      </c>
      <c r="J18" t="inlineStr">
        <is>
          <t>OK : rendu 10,13 € (7,50×1,35 ESTIMATION) ; HT 69,44 € ; marge 85 %</t>
        </is>
      </c>
      <c r="K18" t="inlineStr">
        <is>
          <t>OK : 83 € TTC</t>
        </is>
      </c>
      <c r="L18" t="inlineStr">
        <is>
          <t>OK : 12 % du TTC</t>
        </is>
      </c>
      <c r="M18" t="inlineStr">
        <is>
          <t>OK : ~0,35 kg, textile non fragile</t>
        </is>
      </c>
      <c r="N18" t="inlineStr">
        <is>
          <t>OK : textile (vérifier azoïques REACH)</t>
        </is>
      </c>
      <c r="O18" t="inlineStr">
        <is>
          <t>OK : 50 pcs/réf.</t>
        </is>
      </c>
      <c r="P18" t="inlineStr">
        <is>
          <t>? : concurrence Etsy 19-63 $ et marques FR (Jamini) ; place premium via design/coupe</t>
        </is>
      </c>
      <c r="Q18" t="inlineStr">
        <is>
          <t>RETENU</t>
        </is>
      </c>
      <c r="R18" t="inlineStr">
        <is>
          <t>Marges fortes, MOQ bas, colis léger ; différenciation par motifs exclusifs</t>
        </is>
      </c>
      <c r="S18" t="inlineStr">
        <is>
          <t>https://www.origin-gi.com/wp-content/uploads/2017/01/102-sanganeri-hand-block-printing.pdf ; consulté 2026-10-02 (extrait moteur de recherche ; page non chargeable via proxy)</t>
        </is>
      </c>
      <c r="T18" t="inlineStr">
        <is>
          <t>https://www.indiamart.com/proddetail/block-printed-kimono-robe-22059597133.html ; https://www.indiamart.com/proddetail/cotton-kimono-robe-short-hand-block-printed-bathrobe-22059638833.html ; consulté 2026-10-02 (extrait moteur de recherche ; page non chargeable via proxy)</t>
        </is>
      </c>
      <c r="U18" t="inlineStr">
        <is>
          <t>https://www.jaminidesign.com/en/206-kimonos ; consulté 2026-10-02 (extrait moteur de recherche ; page non chargeable via proxy)</t>
        </is>
      </c>
    </row>
    <row r="19">
      <c r="A19" t="inlineStr">
        <is>
          <t>B02</t>
        </is>
      </c>
      <c r="B19" t="inlineStr">
        <is>
          <t>Gants cuir d'agneau doublés (soie/laine) femme-homme</t>
        </is>
      </c>
      <c r="C19" t="inlineStr">
        <is>
          <t>Pakistan (Sialkot)</t>
        </is>
      </c>
      <c r="D19" t="inlineStr">
        <is>
          <t>« plus de 60 % des gants sport et cuir mondiaux » (affirmation fabricant, NON vérifiée) ; proxy officiel : 22,67 M paires exportées S1 2025 (64,12 M$)</t>
        </is>
      </c>
      <c r="E19" t="inlineStr">
        <is>
          <t>Pôle mondial du gant (tanneries + coupe + couture) ; savoir-faire gants habillés</t>
        </is>
      </c>
      <c r="F19" t="inlineStr">
        <is>
          <t>7,31 € (5,50-8,50 $/paire, haut de fourchette retenu) — ESTIMATION taux : 1 € = 100 INR ; 1 USD = 0,86 € ; 1 € = 350 LKR</t>
        </is>
      </c>
      <c r="G19" t="inlineStr">
        <is>
          <t>79 € (1000 Gants modèle Pérouse, agneau doublé soie) ; repères 74,90 € Isotoner, 99 € 1000 Gants Bayonne</t>
        </is>
      </c>
      <c r="H19" t="inlineStr">
        <is>
          <t>0,10 (ESTIMATION paire + emballage)</t>
        </is>
      </c>
      <c r="I19" t="inlineStr">
        <is>
          <t>100 paires (Alibaba, Sialkot) — attention : par réf. × tailles</t>
        </is>
      </c>
      <c r="J19" t="inlineStr">
        <is>
          <t>OK : rendu 9,87 € ; HT 65,83 € ; marge 85 %</t>
        </is>
      </c>
      <c r="K19" t="inlineStr">
        <is>
          <t>OK : 79 € TTC</t>
        </is>
      </c>
      <c r="L19" t="inlineStr">
        <is>
          <t>OK : 12,5 %</t>
        </is>
      </c>
      <c r="M19" t="inlineStr">
        <is>
          <t>OK : ~0,1 kg</t>
        </is>
      </c>
      <c r="N19" t="inlineStr">
        <is>
          <t>OK : cuir (contrôle chrome VI REACH)</t>
        </is>
      </c>
      <c r="O19" t="inlineStr">
        <is>
          <t>OK : 100 paires (mais 5-6 tailles)</t>
        </is>
      </c>
      <c r="P19" t="inlineStr">
        <is>
          <t>? : Isotoner (masse) et Fabre/Causse (luxe) ; créneau DTC milieu-haut ouvert ; produit saisonnier</t>
        </is>
      </c>
      <c r="Q19" t="inlineStr">
        <is>
          <t>RETENU</t>
        </is>
      </c>
      <c r="R19" t="inlineStr">
        <is>
          <t>Excellent ratio prix/poids ; saisonnalité oct.-fév. et grille tailles à gérer</t>
        </is>
      </c>
      <c r="S19" t="inlineStr">
        <is>
          <t>https://galaxymotowears.com/leather-gloves-sialkot-pakistan/ ; https://en.nbd.ltd/news/d/16385d870a1b333eded1a1c1b8b5f1ec ; https://tdap.gov.pk/wp-content/uploads/2022/05/Gloves-report.pdf ; consulté 2026-10-02 (extrait moteur de recherche ; page non chargeable via proxy)</t>
        </is>
      </c>
      <c r="T19" t="inlineStr">
        <is>
          <t>https://www.alibaba.com/showroom/small-ladies-leather-gloves.html ; https://www.alibaba.com/countrysearch/PK/leather-gloves-sialkot.html ; consulté 2026-10-02 (extrait moteur de recherche ; page non chargeable via proxy)</t>
        </is>
      </c>
      <c r="U19" t="inlineStr">
        <is>
          <t>https://www.1000gants.com/boutique/produit/bayonne/ ; https://www.isotoner.fr/products/gants-cuir-femme-5 ; consulté 2026-10-02 (extrait moteur de recherche ; page non chargeable via proxy)</t>
        </is>
      </c>
    </row>
    <row r="20">
      <c r="A20" t="inlineStr">
        <is>
          <t>B03</t>
        </is>
      </c>
      <c r="B20" t="inlineStr">
        <is>
          <t>Porte-cartes / petite maroquinerie cuir pleine fleur</t>
        </is>
      </c>
      <c r="C20" t="inlineStr">
        <is>
          <t>Inde (Kolkata, Kanpur)</t>
        </is>
      </c>
      <c r="D20" t="inlineStr">
        <is>
          <t>Inde ≈ 13 % de la production mondiale de cuir ; Kolkata ≈ 60 % des articles de maroquinerie indiens</t>
        </is>
      </c>
      <c r="E20" t="inlineStr">
        <is>
          <t>Grande base cuir/tannerie, coûts de main-d'œuvre bas</t>
        </is>
      </c>
      <c r="F20" t="inlineStr">
        <is>
          <t>6,50 € (₹200-650/pièce, haut de fourchette retenu) — ESTIMATION taux : 1 € = 100 INR ; 1 USD = 0,86 € ; 1 € = 350 LKR</t>
        </is>
      </c>
      <c r="G20" t="inlineStr">
        <is>
          <t>45 € (Loom, porte-cartes cuir pleine fleur)</t>
        </is>
      </c>
      <c r="H20" t="inlineStr">
        <is>
          <t>0,05 (ESTIMATION)</t>
        </is>
      </c>
      <c r="I20" t="inlineStr">
        <is>
          <t>ESTIMATION 100-300 pièces (usage IndiaMART, non vérifié)</t>
        </is>
      </c>
      <c r="J20" t="inlineStr">
        <is>
          <t>OK : rendu 8,78 € ; HT 37,50 € ; marge 77 %</t>
        </is>
      </c>
      <c r="K20" t="inlineStr">
        <is>
          <t>OK (limite) : 45 €</t>
        </is>
      </c>
      <c r="L20" t="inlineStr">
        <is>
          <t>OK : 19,5 %</t>
        </is>
      </c>
      <c r="M20" t="inlineStr">
        <is>
          <t>OK</t>
        </is>
      </c>
      <c r="N20" t="inlineStr">
        <is>
          <t>OK</t>
        </is>
      </c>
      <c r="O20" t="inlineStr">
        <is>
          <t>? : non confirmé</t>
        </is>
      </c>
      <c r="P20" t="inlineStr">
        <is>
          <t>KO : marché saturé (Loom, Faméthic, ateliers made in France) ; origine Inde = handicap de positionnement</t>
        </is>
      </c>
      <c r="Q20" t="inlineStr">
        <is>
          <t>ÉLIMINÉ</t>
        </is>
      </c>
      <c r="R20" t="inlineStr">
        <is>
          <t>Marché saturé, prime au made in France</t>
        </is>
      </c>
      <c r="S20" t="inlineStr">
        <is>
          <t>https://leatherindia.org/indian-leather-industry/ ; https://unacademy.com/content/railway-exam/study-material/general-awareness/major-leather-production-centres-located-in-india/ ; consulté 2026-10-02 (extrait moteur de recherche ; page non chargeable via proxy)</t>
        </is>
      </c>
      <c r="T20" t="inlineStr">
        <is>
          <t>https://dir.indiamart.com/kolkata/leather-card-holders.html ; https://www.indiamart.com/adel-international-mumbai/leather-card-holders.html ; consulté 2026-10-02 (extrait moteur de recherche ; page non chargeable via proxy)</t>
        </is>
      </c>
      <c r="U20" t="inlineStr">
        <is>
          <t>https://www.loom.fr/fr-fr/products/le-porte-cartes ; consulté 2026-10-02 (extrait moteur de recherche ; page non chargeable via proxy)</t>
        </is>
      </c>
    </row>
    <row r="21">
      <c r="A21" t="inlineStr">
        <is>
          <t>B04</t>
        </is>
      </c>
      <c r="B21" t="inlineStr">
        <is>
          <t>Carnet / journal cuir à papier artisanal (deckle edge)</t>
        </is>
      </c>
      <c r="C21" t="inlineStr">
        <is>
          <t>Inde (Jaipur/Sanganer)</t>
        </is>
      </c>
      <c r="D21" t="inlineStr">
        <is>
          <t>Donnée mondiale introuvable ; proxy : Sanganer = pôle historique du papier fait main</t>
        </is>
      </c>
      <c r="E21" t="inlineStr">
        <is>
          <t>Papier chiffon de coton fait main + reliure cuir sur place</t>
        </is>
      </c>
      <c r="F21" t="inlineStr">
        <is>
          <t>4,50 € (₹450, M.S. Hilal 20×15 cm ; fourchette ₹320-699) — ESTIMATION taux : 1 € = 100 INR ; 1 USD = 0,86 € ; 1 € = 350 LKR</t>
        </is>
      </c>
      <c r="G21" t="inlineStr">
        <is>
          <t>69,90 € (Mediefan carnet cuir artisanal) ; repère bas 38 € (Atelier de la Forêt)</t>
        </is>
      </c>
      <c r="H21" t="inlineStr">
        <is>
          <t>0,40 (ESTIMATION)</t>
        </is>
      </c>
      <c r="I21" t="inlineStr">
        <is>
          <t>ESTIMATION 50-100 pièces (non vérifié)</t>
        </is>
      </c>
      <c r="J21" t="inlineStr">
        <is>
          <t>OK : rendu 6,08 € ; HT 58,25 € ; marge 90 %</t>
        </is>
      </c>
      <c r="K21" t="inlineStr">
        <is>
          <t>OK : 69,90 € (38 € au bas de marché = KO)</t>
        </is>
      </c>
      <c r="L21" t="inlineStr">
        <is>
          <t>OK : 8,7 %</t>
        </is>
      </c>
      <c r="M21" t="inlineStr">
        <is>
          <t>OK</t>
        </is>
      </c>
      <c r="N21" t="inlineStr">
        <is>
          <t>OK</t>
        </is>
      </c>
      <c r="O21" t="inlineStr">
        <is>
          <t>? : non confirmé</t>
        </is>
      </c>
      <c r="P21" t="inlineStr">
        <is>
          <t>? : modèle « vintage » très présent sur Etsy à bas prix ; premium seulement avec design propre</t>
        </is>
      </c>
      <c r="Q21" t="inlineStr">
        <is>
          <t>RETENU</t>
        </is>
      </c>
      <c r="R21" t="inlineStr">
        <is>
          <t>Marges très élevées ; risque de banalisation : design exclusif obligatoire</t>
        </is>
      </c>
      <c r="S21" t="inlineStr">
        <is>
          <t>https://www.outlooktraveller.com/destinations/india/sanganer-block-printing-and-paper-making-hub-rajasthan ; consulté 2026-10-02 (extrait moteur de recherche ; page non chargeable via proxy)</t>
        </is>
      </c>
      <c r="T21" t="inlineStr">
        <is>
          <t>https://www.indiamart.com/mshilalinternational/handmade-diaries.html ; https://www.indiamart.com/proddetail/leather-vintage-handmade-journal-diary-with-lock-2849040241148.html ; consulté 2026-10-02 (extrait moteur de recherche ; page non chargeable via proxy)</t>
        </is>
      </c>
      <c r="U21" t="inlineStr">
        <is>
          <t>https://www.mediefan.com/products/carnet-cuir-artisanal ; https://www.atelier-de-la-foret.fr/carnets/107-carnets10x15cm.html ; consulté 2026-10-02 (extrait moteur de recherche ; page non chargeable via proxy)</t>
        </is>
      </c>
    </row>
    <row r="22">
      <c r="A22" t="inlineStr">
        <is>
          <t>B05</t>
        </is>
      </c>
      <c r="B22" t="inlineStr">
        <is>
          <t>Foulard / étole soie ikat tissée main</t>
        </is>
      </c>
      <c r="C22" t="inlineStr">
        <is>
          <t>Ouzbékistan (Margilan)</t>
        </is>
      </c>
      <c r="D22" t="inlineStr">
        <is>
          <t>3e producteur mondial de soie (après Chine et Inde) ; ≈ 3 % des cocons (2018)</t>
        </is>
      </c>
      <c r="E22" t="inlineStr">
        <is>
          <t>Technique ikat (abr-band) spécifique à Margilan, usine Yodgorlik</t>
        </is>
      </c>
      <c r="F22" t="inlineStr">
        <is>
          <t>21,50 € (≈25 $ foulard boutique usine Yodgorlik ; bazar 7-10 $ hors ikat authentique) — prix de gros introuvable, proxy détail local ; ESTIMATION taux : 1 € = 100 INR ; 1 USD = 0,86 € ; 1 € = 350 LKR</t>
        </is>
      </c>
      <c r="G22" t="inlineStr">
        <is>
          <t>Prix FR premium introuvable ; proxy 94,31 $ (≈81 €) Hoonarts (e-shop US) ; Etsy 27-31 €</t>
        </is>
      </c>
      <c r="H22" t="inlineStr">
        <is>
          <t>0,10 (ESTIMATION)</t>
        </is>
      </c>
      <c r="I22" t="inlineStr">
        <is>
          <t>Introuvable ; ESTIMATION 20-100 pièces (ateliers artisanaux)</t>
        </is>
      </c>
      <c r="J22" t="inlineStr">
        <is>
          <t>OK : rendu 29,03 € ; HT 67,50 € (proxy 81 €) ; marge 57 % → KO</t>
        </is>
      </c>
      <c r="K22" t="inlineStr">
        <is>
          <t>OK si ≥ 81 €</t>
        </is>
      </c>
      <c r="L22" t="inlineStr">
        <is>
          <t>KO : 36 % du TTC proxy</t>
        </is>
      </c>
      <c r="M22" t="inlineStr">
        <is>
          <t>OK</t>
        </is>
      </c>
      <c r="N22" t="inlineStr">
        <is>
          <t>OK</t>
        </is>
      </c>
      <c r="O22" t="inlineStr">
        <is>
          <t>?</t>
        </is>
      </c>
      <c r="P22" t="inlineStr">
        <is>
          <t>? : niche ; peu d'acteurs FR</t>
        </is>
      </c>
      <c r="Q22" t="inlineStr">
        <is>
          <t>ÉLIMINÉ</t>
        </is>
      </c>
      <c r="R22" t="inlineStr">
        <is>
          <t>Coût d'achat ikat authentique trop haut vs prix constaté ; à requalifier si devis grossiste &lt; 15 €</t>
        </is>
      </c>
      <c r="S22" t="inlineStr">
        <is>
          <t>https://www.worldatlas.com/articles/world-leaders-in-silk-production.html ; https://www.globaltrademag.com/silk-worm-cocoons-market-in-asia-key-insights/ ; consulté 2026-10-02 (extrait moteur de recherche ; page non chargeable via proxy)</t>
        </is>
      </c>
      <c r="T22" t="inlineStr">
        <is>
          <t>https://www.tripadvisor.com/ShowUserReviews-g815343-d7708874-r295267559-Yodgorlik_Silk_Factory-Margilan_Fergana_Province.html ; https://www.eva-darling.com/shopping-in-uzbekistan/ ; consulté 2026-10-02 (extrait moteur de recherche ; page non chargeable via proxy)</t>
        </is>
      </c>
      <c r="U22" t="inlineStr">
        <is>
          <t>https://www.hoonarts.com/collections/uzbek-handwoven-silk-scarves ; consulté 2026-10-02 (extrait moteur de recherche ; page non chargeable via proxy)</t>
        </is>
      </c>
    </row>
    <row r="23">
      <c r="A23" t="inlineStr">
        <is>
          <t>B06</t>
        </is>
      </c>
      <c r="B23" t="inlineStr">
        <is>
          <t>Housse de coussin suzani brodée main</t>
        </is>
      </c>
      <c r="C23" t="inlineStr">
        <is>
          <t>Ouzbékistan (Boukhara)</t>
        </is>
      </c>
      <c r="D23" t="inlineStr">
        <is>
          <t>Donnée mondiale introuvable (artisanat d'origine, Ouzbékistan = foyer historique du suzani) ; proxy : 3e producteur mondial de soie</t>
        </is>
      </c>
      <c r="E23" t="inlineStr">
        <is>
          <t>Broderie suzani traditionnelle, coûts locaux très bas</t>
        </is>
      </c>
      <c r="F23" t="inlineStr">
        <is>
          <t>8,60 € (bazar Boukhara 60 000-125 000 som ≈ 5-10 $, coton) — proxy détail local, prix de gros introuvable ; ESTIMATION taux : 1 € = 100 INR ; 1 USD = 0,86 € ; 1 € = 350 LKR</t>
        </is>
      </c>
      <c r="G23" t="inlineStr">
        <is>
          <t>52 € (Casa Nomade, suzani brodé main soie) ; haut 124 € (Authentic Bazar)</t>
        </is>
      </c>
      <c r="H23" t="inlineStr">
        <is>
          <t>0,30 (ESTIMATION)</t>
        </is>
      </c>
      <c r="I23" t="inlineStr">
        <is>
          <t>ESTIMATION 20-50 (pièces artisanales, réassort irrégulier)</t>
        </is>
      </c>
      <c r="J23" t="inlineStr">
        <is>
          <t>OK : rendu 11,61 € ; HT 43,33 € ; marge 73 %</t>
        </is>
      </c>
      <c r="K23" t="inlineStr">
        <is>
          <t>OK : 52 €</t>
        </is>
      </c>
      <c r="L23" t="inlineStr">
        <is>
          <t>? : 22 % (KO si achat &gt; 9,60 €)</t>
        </is>
      </c>
      <c r="M23" t="inlineStr">
        <is>
          <t>OK</t>
        </is>
      </c>
      <c r="N23" t="inlineStr">
        <is>
          <t>OK</t>
        </is>
      </c>
      <c r="O23" t="inlineStr">
        <is>
          <t>? : non vérifié</t>
        </is>
      </c>
      <c r="P23" t="inlineStr">
        <is>
          <t>? : niche déco ethnique, pas d'acteur dominant</t>
        </is>
      </c>
      <c r="Q23" t="inlineStr">
        <is>
          <t>RETENU</t>
        </is>
      </c>
      <c r="R23" t="inlineStr">
        <is>
          <t>Sous réserve devis grossiste ≤ 9,60 € et qualité constante</t>
        </is>
      </c>
      <c r="S23" t="inlineStr">
        <is>
          <t>https://www.worldatlas.com/articles/world-leaders-in-silk-production.html ; consulté 2026-10-02 (extrait moteur de recherche ; page non chargeable via proxy)</t>
        </is>
      </c>
      <c r="T23" t="inlineStr">
        <is>
          <t>https://wanderingwheatleys.com/uzbekistan-shopping-souvenirs-what-to-buy/ ; https://www.eva-darling.com/shopping-in-uzbekistan/ ; consulté 2026-10-02 (extrait moteur de recherche ; page non chargeable via proxy)</t>
        </is>
      </c>
      <c r="U23" t="inlineStr">
        <is>
          <t>https://www.casanomade.fr/housses-de-coussin/209-housses-de-coussin-housse-de-coussin-suzani-vintage-brode-a-la-main-fleurs.html ; https://www.authentic-bazar.com/produit/la-maison/les-createurs/tensira/housse-de-coussin-suzani-boukhara/ ; consulté 2026-10-02 (extrait moteur de recherche ; page non chargeable via proxy)</t>
        </is>
      </c>
    </row>
    <row r="24">
      <c r="A24" t="inlineStr">
        <is>
          <t>B07</t>
        </is>
      </c>
      <c r="B24" t="inlineStr">
        <is>
          <t>Chaussons en feutre de laine (semelle cuir)</t>
        </is>
      </c>
      <c r="C24" t="inlineStr">
        <is>
          <t>Kirghizistan</t>
        </is>
      </c>
      <c r="D24" t="inlineStr">
        <is>
          <t>Donnée mondiale introuvable ; proxy : feutre kirghize (shyrdak) reconnu UNESCO, ateliers Tumar/Kyrgies</t>
        </is>
      </c>
      <c r="E24" t="inlineStr">
        <is>
          <t>Laine locale + feutrage traditionnel, ateliers éthiques exportant déjà en UE</t>
        </is>
      </c>
      <c r="F24" t="inlineStr">
        <is>
          <t>10,32 € (≈12 $/paire petite usine kirghize ; 2-14 $ dès 300 paires) — ESTIMATION taux : 1 € = 100 INR ; 1 USD = 0,86 € ; 1 € = 350 LKR</t>
        </is>
      </c>
      <c r="G24" t="inlineStr">
        <is>
          <t>64,90 € (WoolFit, boutique-chaussons.fr) ; 55 € Kashgar Artisanat</t>
        </is>
      </c>
      <c r="H24" t="inlineStr">
        <is>
          <t>0,40 (ESTIMATION paire)</t>
        </is>
      </c>
      <c r="I24" t="inlineStr">
        <is>
          <t>300 paires (offre usine Alibaba) ; ateliers artisanaux probablement moins</t>
        </is>
      </c>
      <c r="J24" t="inlineStr">
        <is>
          <t>OK : rendu 13,93 € ; HT 54,08 € ; marge 74 % (KO si prix &lt; 56 €)</t>
        </is>
      </c>
      <c r="K24" t="inlineStr">
        <is>
          <t>OK : 64,90 €</t>
        </is>
      </c>
      <c r="L24" t="inlineStr">
        <is>
          <t>OK : 21,5 %</t>
        </is>
      </c>
      <c r="M24" t="inlineStr">
        <is>
          <t>OK</t>
        </is>
      </c>
      <c r="N24" t="inlineStr">
        <is>
          <t>OK</t>
        </is>
      </c>
      <c r="O24" t="inlineStr">
        <is>
          <t>OK : ≤ 300</t>
        </is>
      </c>
      <c r="P24" t="inlineStr">
        <is>
          <t>? : Kyrgies (US), WoolFit, Baabuk ; peu présent en FR premium</t>
        </is>
      </c>
      <c r="Q24" t="inlineStr">
        <is>
          <t>RETENU</t>
        </is>
      </c>
      <c r="R24" t="inlineStr">
        <is>
          <t>Histoire forte, colis léger ; prix de vente ≥ 59 € nécessaire</t>
        </is>
      </c>
      <c r="S24" t="inlineStr">
        <is>
          <t>https://www.visitkyrgyzstan.org/souvenirs/ ; consulté 2026-10-02 (extrait moteur de recherche ; page non chargeable via proxy)</t>
        </is>
      </c>
      <c r="T24" t="inlineStr">
        <is>
          <t>https://blog.quiltedtwins.com/new-blog/2019/october/krygyz-slippers ; https://www.alibaba.com/showroom/felt-slippers-kyrgyzstan.html ; consulté 2026-10-02 (extrait moteur de recherche ; page non chargeable via proxy)</t>
        </is>
      </c>
      <c r="U24" t="inlineStr">
        <is>
          <t>https://www.boutique-chaussons.fr/chaussons-feutre.html ; https://kashgarartisanat.com/produit/chaussons-en-laine-merinos/ ; consulté 2026-10-02 (extrait moteur de recherche ; page non chargeable via proxy)</t>
        </is>
      </c>
    </row>
    <row r="25">
      <c r="A25" t="inlineStr">
        <is>
          <t>B08</t>
        </is>
      </c>
      <c r="B25" t="inlineStr">
        <is>
          <t>Cannelle de Ceylan (bâtons Alba)</t>
        </is>
      </c>
      <c r="C25" t="inlineStr">
        <is>
          <t>Sri Lanka</t>
        </is>
      </c>
      <c r="D25" t="inlineStr">
        <is>
          <t>≈ 80-90 % de la cannelle de Ceylan mondiale ; 79,9 % des exportations mondiales de cannelle 2024</t>
        </is>
      </c>
      <c r="E25" t="inlineStr">
        <is>
          <t>Quasi-monopole sur Cinnamomum verum</t>
        </is>
      </c>
      <c r="F25" t="inlineStr">
        <is>
          <t>21,40 €/kg prix bord-champ Alba (Rs 7 500/kg, juil. 2026) soit 2,14 €/100 g — prix export supérieur non trouvé ; ESTIMATION taux : 1 € = 100 INR ; 1 USD = 0,86 € ; 1 € = 350 LKR</t>
        </is>
      </c>
      <c r="G25" t="inlineStr">
        <is>
          <t>14,21 € / 100 g (KHLA bio)</t>
        </is>
      </c>
      <c r="H25" t="inlineStr">
        <is>
          <t>0,10</t>
        </is>
      </c>
      <c r="I25" t="inlineStr">
        <is>
          <t>Lots d'essai 10 kg (exportateurs)</t>
        </is>
      </c>
      <c r="J25" t="inlineStr">
        <is>
          <t>OK : rendu 2,89 € ; HT 11,84 € ; marge 76 %</t>
        </is>
      </c>
      <c r="K25" t="inlineStr">
        <is>
          <t>KO : 14 € l'unité, panier 40 € irréaliste</t>
        </is>
      </c>
      <c r="L25" t="inlineStr">
        <is>
          <t>OK : 20 %</t>
        </is>
      </c>
      <c r="M25" t="inlineStr">
        <is>
          <t>OK (DLUO épice sèche longue)</t>
        </is>
      </c>
      <c r="N25" t="inlineStr">
        <is>
          <t>OK : alimentaire simple</t>
        </is>
      </c>
      <c r="O25" t="inlineStr">
        <is>
          <t>OK</t>
        </is>
      </c>
      <c r="P25" t="inlineStr">
        <is>
          <t>KO : épicerie fine saturée, commodité</t>
        </is>
      </c>
      <c r="Q25" t="inlineStr">
        <is>
          <t>ÉLIMINÉ</t>
        </is>
      </c>
      <c r="R25" t="inlineStr">
        <is>
          <t>Panier trop bas, marché banalisé</t>
        </is>
      </c>
      <c r="S25" t="inlineStr">
        <is>
          <t>https://www.srilankabusiness.com/spices/about/cinnamon-cultivation-sri-lanka.html ; consulté 2026-10-02 (extrait moteur de recherche ; page non chargeable via proxy)</t>
        </is>
      </c>
      <c r="T25" t="inlineStr">
        <is>
          <t>https://www.dailymirror.lk/breaking-news/Sri-Lanka-targets-US-300mn-in-cinnamon-exports-as-Alba-price-hits-record-Rs-7-500/108-346480 ; consulté 2026-10-02 (extrait moteur de recherche ; page non chargeable via proxy)</t>
        </is>
      </c>
      <c r="U25" t="inlineStr">
        <is>
          <t>https://www.epices-khla.com/cannelle-baton/cannelle-de-ceylan-biologique-en-baton-100g.html ; consulté 2026-10-02 (extrait moteur de recherche ; page non chargeable via proxy)</t>
        </is>
      </c>
    </row>
    <row r="26">
      <c r="A26" t="inlineStr">
        <is>
          <t>B09</t>
        </is>
      </c>
      <c r="B26" t="inlineStr">
        <is>
          <t>Thé Darjeeling first flush grand cru</t>
        </is>
      </c>
      <c r="C26" t="inlineStr">
        <is>
          <t>Inde</t>
        </is>
      </c>
      <c r="D26" t="inlineStr">
        <is>
          <t>Inde ≈ 20,7 % du thé mondial ; Darjeeling IG ≈ 1 % de la production indienne</t>
        </is>
      </c>
      <c r="E26" t="inlineStr">
        <is>
          <t>Terroir IG non reproductible</t>
        </is>
      </c>
      <c r="F26" t="inlineStr">
        <is>
          <t>4,50 €/100 g (moyenne first flush ₹4 500/kg, enchères Kolkata) — ESTIMATION taux : 1 € = 100 INR ; 1 USD = 0,86 € ; 1 € = 350 LKR</t>
        </is>
      </c>
      <c r="G26" t="inlineStr">
        <is>
          <t>32 € / 100 g (Palais des Thés, Sungma FTGFOP1)</t>
        </is>
      </c>
      <c r="H26" t="inlineStr">
        <is>
          <t>0,15 (boîte 100 g)</t>
        </is>
      </c>
      <c r="I26" t="inlineStr">
        <is>
          <t>ESTIMATION 10-50 kg par lot (non vérifié)</t>
        </is>
      </c>
      <c r="J26" t="inlineStr">
        <is>
          <t>OK : rendu 6,08 € ; HT 26,67 € (formule brief ; TVA réelle 5,5 %) ; marge 77 %</t>
        </is>
      </c>
      <c r="K26" t="inlineStr">
        <is>
          <t>? : 32 €/boîte, panier 40 € via 2 boîtes</t>
        </is>
      </c>
      <c r="L26" t="inlineStr">
        <is>
          <t>OK : 19 %</t>
        </is>
      </c>
      <c r="M26" t="inlineStr">
        <is>
          <t>OK (DLUO 2-3 ans)</t>
        </is>
      </c>
      <c r="N26" t="inlineStr">
        <is>
          <t>OK : alimentaire simple</t>
        </is>
      </c>
      <c r="O26" t="inlineStr">
        <is>
          <t>OK</t>
        </is>
      </c>
      <c r="P26" t="inlineStr">
        <is>
          <t>KO : Palais des Thés, Mariage Frères, Dammann, Kusmi + nombreux spécialistes</t>
        </is>
      </c>
      <c r="Q26" t="inlineStr">
        <is>
          <t>ÉLIMINÉ</t>
        </is>
      </c>
      <c r="R26" t="inlineStr">
        <is>
          <t>Marché premium verrouillé par maisons établies</t>
        </is>
      </c>
      <c r="S26" t="inlineStr">
        <is>
          <t>https://www.historyofceylontea.com/ceylon-publications/ceylon-tea-articles/international-tea-day-2025-top-10-largest-tea-producing-countries-in-the-world-know-where-india-ranks.html ; consulté 2026-10-02 (extrait moteur de recherche ; page non chargeable via proxy)</t>
        </is>
      </c>
      <c r="T26" t="inlineStr">
        <is>
          <t>https://www.tconews.in/blog/news-2/darjeeling-tea-hits-stratospheric-highs-record-5000kg-fetch-at-kolkata-auction-amid-global-crunch-374 ; consulté 2026-10-02 (extrait moteur de recherche ; page non chargeable via proxy)</t>
        </is>
      </c>
      <c r="U26" t="inlineStr">
        <is>
          <t>https://www.palaisdesthes.com/en/grands-crus/first-flush/darjeeling/ ; consulté 2026-10-02 (extrait moteur de recherche ; page non chargeable via proxy)</t>
        </is>
      </c>
    </row>
    <row r="27">
      <c r="A27" t="inlineStr">
        <is>
          <t>B10</t>
        </is>
      </c>
      <c r="B27" t="inlineStr">
        <is>
          <t>Châle laine de yak (hors cachemire)</t>
        </is>
      </c>
      <c r="C27" t="inlineStr">
        <is>
          <t>Népal</t>
        </is>
      </c>
      <c r="D27" t="inlineStr">
        <is>
          <t>Donnée mondiale introuvable</t>
        </is>
      </c>
      <c r="E27" t="inlineStr">
        <is>
          <t>Laine himalayenne, tissage main à Katmandou</t>
        </is>
      </c>
      <c r="F27" t="inlineStr">
        <is>
          <t>5,76 € (6,70 $ yak/coton ; yak pur dès 4,50 $) — ESTIMATION taux : 1 € = 100 INR ; 1 USD = 0,86 € ; 1 € = 350 LKR</t>
        </is>
      </c>
      <c r="G27" t="inlineStr">
        <is>
          <t>39,90 € (Free-Bouddha grand châle 100×200) ; 35 € Namaste Boutique</t>
        </is>
      </c>
      <c r="H27" t="inlineStr">
        <is>
          <t>0,30 (ESTIMATION)</t>
        </is>
      </c>
      <c r="I27" t="inlineStr">
        <is>
          <t>Introuvable</t>
        </is>
      </c>
      <c r="J27" t="inlineStr">
        <is>
          <t>OK : rendu 7,78 € ; HT 33,25 € ; marge 77 %</t>
        </is>
      </c>
      <c r="K27" t="inlineStr">
        <is>
          <t>KO : prix constaté &lt; 40 €</t>
        </is>
      </c>
      <c r="L27" t="inlineStr">
        <is>
          <t>OK : 19,5 %</t>
        </is>
      </c>
      <c r="M27" t="inlineStr">
        <is>
          <t>OK</t>
        </is>
      </c>
      <c r="N27" t="inlineStr">
        <is>
          <t>OK</t>
        </is>
      </c>
      <c r="O27" t="inlineStr">
        <is>
          <t>?</t>
        </is>
      </c>
      <c r="P27" t="inlineStr">
        <is>
          <t>KO : positionnement boutique ésotérique bas prix ; risque d'authenticité (mélanges)</t>
        </is>
      </c>
      <c r="Q27" t="inlineStr">
        <is>
          <t>ÉLIMINÉ</t>
        </is>
      </c>
      <c r="R27" t="inlineStr">
        <is>
          <t>Prix de marché &lt; 40 €, crédibilité « yak » faible</t>
        </is>
      </c>
      <c r="S27" t="inlineStr">
        <is>
          <t>Introuvable</t>
        </is>
      </c>
      <c r="T27" t="inlineStr">
        <is>
          <t>https://www.nepalpashminashawl.com/product/himalayan-yak-wool-and-cotton-mix-printed-shawl/ ; https://handicraftsinnepal.com/shawl/ ; consulté 2026-10-02 (extrait moteur de recherche ; page non chargeable via proxy)</t>
        </is>
      </c>
      <c r="U27" t="inlineStr">
        <is>
          <t>https://www.free-bouddha.fr/grand-ch%C3%A2le-n%C3%A9palais-100-x-200-cm/24526-grand-ch%C3%A2le-laine-de-yak-rouge-et-bleu-100-x-200-cm.html ; consulté 2026-10-02 (extrait moteur de recherche ; page non chargeable via proxy)</t>
        </is>
      </c>
    </row>
    <row r="28">
      <c r="A28" t="inlineStr">
        <is>
          <t>B11</t>
        </is>
      </c>
      <c r="B28" t="inlineStr">
        <is>
          <t>Cabas en jute premium</t>
        </is>
      </c>
      <c r="C28" t="inlineStr">
        <is>
          <t>Bangladesh</t>
        </is>
      </c>
      <c r="D28" t="inlineStr">
        <is>
          <t>Inde + Bangladesh ≈ 93 % de la production mondiale de jute (2018) ; Bangladesh ≈ 42 % (2021)</t>
        </is>
      </c>
      <c r="E28" t="inlineStr">
        <is>
          <t>Matière première et filière complète</t>
        </is>
      </c>
      <c r="F28" t="inlineStr">
        <is>
          <t>3,44 € (1,50-4,00 $ cabas premium, MOQ 300) — ESTIMATION taux : 1 € = 100 INR ; 1 USD = 0,86 € ; 1 € = 350 LKR</t>
        </is>
      </c>
      <c r="G28" t="inlineStr">
        <is>
          <t>49,17 € (Grenouille Rouge, jute + cuir, fabriqué en France) ; courant 24-38 €</t>
        </is>
      </c>
      <c r="H28" t="inlineStr">
        <is>
          <t>0,40 (ESTIMATION)</t>
        </is>
      </c>
      <c r="I28" t="inlineStr">
        <is>
          <t>300 à 5 000 pièces</t>
        </is>
      </c>
      <c r="J28" t="inlineStr">
        <is>
          <t>OK : rendu 4,64 € ; HT 40,98 € ; marge 89 %</t>
        </is>
      </c>
      <c r="K28" t="inlineStr">
        <is>
          <t>? : la plupart des cabas jute &lt; 40 €</t>
        </is>
      </c>
      <c r="L28" t="inlineStr">
        <is>
          <t>OK : 9 %</t>
        </is>
      </c>
      <c r="M28" t="inlineStr">
        <is>
          <t>OK</t>
        </is>
      </c>
      <c r="N28" t="inlineStr">
        <is>
          <t>OK</t>
        </is>
      </c>
      <c r="O28" t="inlineStr">
        <is>
          <t>? : 300 possible, souvent 1 000+</t>
        </is>
      </c>
      <c r="P28" t="inlineStr">
        <is>
          <t>KO : produit perçu promotionnel, très concurrentiel</t>
        </is>
      </c>
      <c r="Q28" t="inlineStr">
        <is>
          <t>ÉLIMINÉ</t>
        </is>
      </c>
      <c r="R28" t="inlineStr">
        <is>
          <t>Perception bas de gamme, MOQ souvent &gt; 500</t>
        </is>
      </c>
      <c r="S28" t="inlineStr">
        <is>
          <t>https://en.wikipedia.org/wiki/Jute_cultivation ; https://en.wikipedia.org/wiki/Jute_industry_in_Bangladesh ; consulté 2026-10-02 (extrait moteur de recherche ; page non chargeable via proxy)</t>
        </is>
      </c>
      <c r="T28" t="inlineStr">
        <is>
          <t>https://www.alibaba.com/showroom/jute-bags-export-from-bangladesh.html ; consulté 2026-10-02 (extrait moteur de recherche ; page non chargeable via proxy)</t>
        </is>
      </c>
      <c r="U28" t="inlineStr">
        <is>
          <t>https://grenouillerouge.com/cabas-en-jute/241-vive-la-france.html ; https://toileschics.com/categorie-produit/sac-cabas-jute/ ; consulté 2026-10-02 (extrait moteur de recherche ; page non chargeable via proxy)</t>
        </is>
      </c>
    </row>
    <row r="29">
      <c r="A29" t="inlineStr">
        <is>
          <t>B12</t>
        </is>
      </c>
      <c r="B29" t="inlineStr">
        <is>
          <t>Couteau de cuisine lame damas</t>
        </is>
      </c>
      <c r="C29" t="inlineStr">
        <is>
          <t>Pakistan (Wazirabad)</t>
        </is>
      </c>
      <c r="D29" t="inlineStr">
        <is>
          <t>« 95 % des besoins mondiaux en damas de qualité » (affirmation non vérifiée) ; Wazirabad ≈ 70 % des exportations pakistanaises de coutellerie</t>
        </is>
      </c>
      <c r="E29" t="inlineStr">
        <is>
          <t>Pôle coutelier historique, forge damas</t>
        </is>
      </c>
      <c r="F29" t="inlineStr">
        <is>
          <t>12,38 € (14,40 $ chef damas) — ESTIMATION taux : 1 € = 100 INR ; 1 USD = 0,86 € ; 1 € = 350 LKR</t>
        </is>
      </c>
      <c r="G29" t="inlineStr">
        <is>
          <t>120,90 € (Atelier Damas, kiritsuke)</t>
        </is>
      </c>
      <c r="H29" t="inlineStr">
        <is>
          <t>0,30 (ESTIMATION avec étui)</t>
        </is>
      </c>
      <c r="I29" t="inlineStr">
        <is>
          <t>2-20 pièces</t>
        </is>
      </c>
      <c r="J29" t="inlineStr">
        <is>
          <t>OK : rendu 16,72 € ; HT 100,75 € ; marge 83 %</t>
        </is>
      </c>
      <c r="K29" t="inlineStr">
        <is>
          <t>OK</t>
        </is>
      </c>
      <c r="L29" t="inlineStr">
        <is>
          <t>OK : 14 %</t>
        </is>
      </c>
      <c r="M29" t="inlineStr">
        <is>
          <t>OK : non fragile</t>
        </is>
      </c>
      <c r="N29" t="inlineStr">
        <is>
          <t>? : contact alimentaire (règl. 1935/2004) + restrictions pub Meta sur les lames</t>
        </is>
      </c>
      <c r="O29" t="inlineStr">
        <is>
          <t>OK</t>
        </is>
      </c>
      <c r="P29" t="inlineStr">
        <is>
          <t>KO : saturé de damas pakistanais bas de gamme (réputation), concurrence japonaise</t>
        </is>
      </c>
      <c r="Q29" t="inlineStr">
        <is>
          <t>ÉLIMINÉ</t>
        </is>
      </c>
      <c r="R29" t="inlineStr">
        <is>
          <t>Réputation qualité et régime publicitaire défavorables</t>
        </is>
      </c>
      <c r="S29" t="inlineStr">
        <is>
          <t>https://greenhillsknives.com/2026/03/10/wazirabad-pakistan-knife-capital/ ; https://www.listcompany.org/Wazirabad_Near_Pakistan.html ; consulté 2026-10-02 (extrait moteur de recherche ; page non chargeable via proxy)</t>
        </is>
      </c>
      <c r="T29" t="inlineStr">
        <is>
          <t>https://pakistantradeportal.gov.pk/product/premium-quality-damascus-chef-knife-new-kitchen-knives-damascus-steel-kitchen-chef-knife-805 ; consulté 2026-10-02 (extrait moteur de recherche ; page non chargeable via proxy)</t>
        </is>
      </c>
      <c r="U29" t="inlineStr">
        <is>
          <t>https://atelier-damas.com/collections/couteaux-de-cuisine ; consulté 2026-10-02 (extrait moteur de recherche ; page non chargeable via proxy)</t>
        </is>
      </c>
    </row>
    <row r="30">
      <c r="A30" t="inlineStr">
        <is>
          <t>B13</t>
        </is>
      </c>
      <c r="B30" t="inlineStr">
        <is>
          <t>Résine d'oliban Hojari (encens)</t>
        </is>
      </c>
      <c r="C30" t="inlineStr">
        <is>
          <t>Oman (Dhofar)</t>
        </is>
      </c>
      <c r="D30" t="inlineStr">
        <is>
          <t>Introuvable pour Oman seul (proxy : Boswellia sacra endémique Dhofar)</t>
        </is>
      </c>
      <c r="E30" t="inlineStr">
        <is>
          <t>Origine unique de l'oliban Hojari</t>
        </is>
      </c>
      <c r="F30" t="inlineStr">
        <is>
          <t>Introuvable (aucun prix de gros attribuable à une source vérifiable)</t>
        </is>
      </c>
      <c r="G30" t="inlineStr">
        <is>
          <t>Introuvable</t>
        </is>
      </c>
      <c r="H30" t="inlineStr">
        <is>
          <t>0,10</t>
        </is>
      </c>
      <c r="I30" t="inlineStr">
        <is>
          <t>Introuvable</t>
        </is>
      </c>
      <c r="J30" t="inlineStr">
        <is>
          <t>?</t>
        </is>
      </c>
      <c r="K30" t="inlineStr">
        <is>
          <t>?</t>
        </is>
      </c>
      <c r="L30" t="inlineStr">
        <is>
          <t>?</t>
        </is>
      </c>
      <c r="M30" t="inlineStr">
        <is>
          <t>OK</t>
        </is>
      </c>
      <c r="N30" t="inlineStr">
        <is>
          <t>KO : proche du bakhoor/encens déjà écarté (univers parfum)</t>
        </is>
      </c>
      <c r="O30" t="inlineStr">
        <is>
          <t>?</t>
        </is>
      </c>
      <c r="P30" t="inlineStr">
        <is>
          <t>? : niche</t>
        </is>
      </c>
      <c r="Q30" t="inlineStr">
        <is>
          <t>ÉLIMINÉ</t>
        </is>
      </c>
      <c r="R30" t="inlineStr">
        <is>
          <t>Catégorie proche d'une exclusion du fondateur ; données de prix manquantes</t>
        </is>
      </c>
      <c r="S30" t="inlineStr">
        <is>
          <t>https://www.wipo.int/pressroom/en/stories/oman-2023-frankincense.html ; consulté 2026-10-02 (extrait moteur de recherche ; page non chargeable via proxy)</t>
        </is>
      </c>
      <c r="T30" t="inlineStr">
        <is>
          <t>Introuvable</t>
        </is>
      </c>
      <c r="U30" t="inlineStr">
        <is>
          <t>Introuvable</t>
        </is>
      </c>
    </row>
    <row r="31">
      <c r="A31" t="inlineStr">
        <is>
          <t>B14</t>
        </is>
      </c>
      <c r="B31" t="inlineStr">
        <is>
          <t>Ballon de football cuir cousu main (vintage/déco)</t>
        </is>
      </c>
      <c r="C31" t="inlineStr">
        <is>
          <t>Pakistan (Sialkot)</t>
        </is>
      </c>
      <c r="D31" t="inlineStr">
        <is>
          <t>≈ 70 % des ballons cousus main mondiaux</t>
        </is>
      </c>
      <c r="E31" t="inlineStr">
        <is>
          <t>Pôle mondial du ballon cousu main</t>
        </is>
      </c>
      <c r="F31" t="inlineStr">
        <is>
          <t>14,91 € (16,78-17,34 $ cuir vintage) — ESTIMATION taux : 1 € = 100 INR ; 1 USD = 0,86 € ; 1 € = 350 LKR</t>
        </is>
      </c>
      <c r="G31" t="inlineStr">
        <is>
          <t>Introuvable (recherche non aboutie)</t>
        </is>
      </c>
      <c r="H31" t="inlineStr">
        <is>
          <t>0,45 (ESTIMATION)</t>
        </is>
      </c>
      <c r="I31" t="inlineStr">
        <is>
          <t>Introuvable</t>
        </is>
      </c>
      <c r="J31" t="inlineStr">
        <is>
          <t>?</t>
        </is>
      </c>
      <c r="K31" t="inlineStr">
        <is>
          <t>?</t>
        </is>
      </c>
      <c r="L31" t="inlineStr">
        <is>
          <t>?</t>
        </is>
      </c>
      <c r="M31" t="inlineStr">
        <is>
          <t>OK</t>
        </is>
      </c>
      <c r="N31" t="inlineStr">
        <is>
          <t>OK</t>
        </is>
      </c>
      <c r="O31" t="inlineStr">
        <is>
          <t>?</t>
        </is>
      </c>
      <c r="P31" t="inlineStr">
        <is>
          <t>KO : Adidas/Nike dominants ; niche vintage étroite</t>
        </is>
      </c>
      <c r="Q31" t="inlineStr">
        <is>
          <t>ÉLIMINÉ</t>
        </is>
      </c>
      <c r="R31" t="inlineStr">
        <is>
          <t>Marché verrouillé par grandes marques ; prix détail FR non sourcé</t>
        </is>
      </c>
      <c r="S31" t="inlineStr">
        <is>
          <t>https://www.tbsnews.net/sports/how-pakistans-sialkot-powers-70-worlds-football-production-1456891 ; consulté 2026-10-02 (extrait moteur de recherche ; page non chargeable via proxy)</t>
        </is>
      </c>
      <c r="T31" t="inlineStr">
        <is>
          <t>https://sialkotshop.com/vintage-leather-footballs-gs039 ; consulté 2026-10-02 (extrait moteur de recherche ; page non chargeable via proxy)</t>
        </is>
      </c>
      <c r="U31" t="inlineStr">
        <is>
          <t>Introuvable</t>
        </is>
      </c>
    </row>
    <row r="32">
      <c r="A32" t="inlineStr">
        <is>
          <t>C01</t>
        </is>
      </c>
      <c r="B32" t="inlineStr">
        <is>
          <t>Plaid 100 % mohair (env. 130x170 cm)</t>
        </is>
      </c>
      <c r="C32" t="inlineStr">
        <is>
          <t>Afrique du Sud</t>
        </is>
      </c>
      <c r="D32" t="inlineStr">
        <is>
          <t>≈50 % du mohair mondial</t>
        </is>
      </c>
      <c r="E32" t="inlineStr">
        <is>
          <t>1er producteur mondial de mohair (Karoo) + filatures/tissages locaux (Hinterveld, Mohair Mill)</t>
        </is>
      </c>
      <c r="F32" t="inlineStr">
        <is>
          <t>ESTIMATION 33,6 € (prix détail magasin d'usine SA R1 250 /18,6 = 67,2 € × 0,5 coef. gros) ; prix usine non publié, devis requis</t>
        </is>
      </c>
      <c r="G32" t="inlineStr">
        <is>
          <t>119 € (Olivier Desforges) à 330–400 € (Yves Delorme, Maison Pechavy)</t>
        </is>
      </c>
      <c r="H32" t="inlineStr">
        <is>
          <t>ESTIMATION 0,8–0,9 (350 g/m² × 140x180 cm = 0,88 kg, spec Pechavy)</t>
        </is>
      </c>
      <c r="I32" t="inlineStr">
        <is>
          <t>ESTIMATION 20–50 pièces (tissage artisanal, à confirmer)</t>
        </is>
      </c>
      <c r="J32" t="inlineStr">
        <is>
          <t>OK à prix cible 199 € : coût rendu 45,4 € vs HT 165,8 € → marge 72,6 % ; KO à 119 € (54 %)</t>
        </is>
      </c>
      <c r="K32" t="inlineStr">
        <is>
          <t>OK (≥119 €)</t>
        </is>
      </c>
      <c r="L32" t="inlineStr">
        <is>
          <t>OK à 199 € (22,8 %) ; KO à 119 € (38 %)</t>
        </is>
      </c>
      <c r="M32" t="inlineStr">
        <is>
          <t>? 0,88 kg proche limite 1 kg ; non fragile, non périssable</t>
        </is>
      </c>
      <c r="N32" t="inlineStr">
        <is>
          <t>OK – APE UE-SADC : 98,7 % des produits sud-africains en franchise (règle d'origine textile) https://trade.ec.europa.eu/access-to-markets/en/content/eu-southern-african-development-community-sadc-economic-partnership-agreement-epa</t>
        </is>
      </c>
      <c r="O32" t="inlineStr">
        <is>
          <t>? MOQ non publié</t>
        </is>
      </c>
      <c r="P32" t="inlineStr">
        <is>
          <t>OK – offre FR = mohair FR artisanal (fermes) + grands linge de maison ; pas d'acteur dominant 'mohair d'origine Karoo'</t>
        </is>
      </c>
      <c r="Q32" t="inlineStr">
        <is>
          <t>RETENU</t>
        </is>
      </c>
      <c r="R32" t="inlineStr">
        <is>
          <t>Sous conditions : prix public ≥199 €, prix usine ≤37 € et poids ≤1 kg (format 130x170) à valider par devis</t>
        </is>
      </c>
      <c r="S32" t="inlineStr">
        <is>
          <t>https://www.textileworld.com/textile-world/fiber-world/2020/10/mohair-south-africa-partner-with-oritain-to-verify-the-origin-of-50-of-the-worlds-mohair/ consulté 2026-10-02</t>
        </is>
      </c>
      <c r="T32" t="inlineStr">
        <is>
          <t>https://mohairmillshop.com/en-us (throws dès R1 250) consulté 2026-10-02 ; taux ESTIMATION 1 EUR = 1,14 USD (tradingeconomics.com/euro-area/currency, sept. 2026) et 1 EUR = 18,6 ZAR (exchangerates.org.uk/EUR-ZAR-exchange-rate-history.html, moy. sept. 2026)</t>
        </is>
      </c>
      <c r="U32" t="inlineStr">
        <is>
          <t>https://www.1001listes.fr/Produit4435263/Plaid-Mohair ; https://france.yvesdelorme.com/p/c/yd-mohair-plai.html ; https://maisonpechavy.fr/commander/plaid-mohair-et-coussins/984-plaid-victoria-100-mohair-3760303492007.html consulté 2026-10-02</t>
        </is>
      </c>
    </row>
    <row r="33">
      <c r="A33" t="inlineStr">
        <is>
          <t>C02</t>
        </is>
      </c>
      <c r="B33" t="inlineStr">
        <is>
          <t>Écharpe / étole mohair tissée</t>
        </is>
      </c>
      <c r="C33" t="inlineStr">
        <is>
          <t>Afrique du Sud</t>
        </is>
      </c>
      <c r="D33" t="inlineStr">
        <is>
          <t>≈50 % du mohair mondial</t>
        </is>
      </c>
      <c r="E33" t="inlineStr">
        <is>
          <t>Même filière Karoo ; écharpes tissées/tricotées en usines locales</t>
        </is>
      </c>
      <c r="F33" t="inlineStr">
        <is>
          <t>ESTIMATION 11,2 € (prix détail SA 'extra fine scarf' R415 /18,6 = 22,3 € × 0,5) ; borne haute = 22,3 €</t>
        </is>
      </c>
      <c r="G33" t="inlineStr">
        <is>
          <t>60 € à 145 € (mohair français : Au fil de la Monne, Ferme d'Auré, Brun de Vian-Tiran 129 €)</t>
        </is>
      </c>
      <c r="H33" t="inlineStr">
        <is>
          <t>ESTIMATION 0,15–0,25 (écharpe laine type)</t>
        </is>
      </c>
      <c r="I33" t="inlineStr">
        <is>
          <t>ESTIMATION 30–100 (à confirmer)</t>
        </is>
      </c>
      <c r="J33" t="inlineStr">
        <is>
          <t>OK à 89 € : rendu 15,1 € vs HT 74,2 € → 79,6 % (même au prix borne haute 30,1 € : 59 % KO à 89 €, OK à 129 € : 72 %)</t>
        </is>
      </c>
      <c r="K33" t="inlineStr">
        <is>
          <t>OK (60–145 €)</t>
        </is>
      </c>
      <c r="L33" t="inlineStr">
        <is>
          <t>OK à 89 € (17 %) ; à 129 € avec borne haute (23 %)</t>
        </is>
      </c>
      <c r="M33" t="inlineStr">
        <is>
          <t>OK léger, non fragile</t>
        </is>
      </c>
      <c r="N33" t="inlineStr">
        <is>
          <t>OK – APE UE-SADC (franchise, règle d'origine textile)</t>
        </is>
      </c>
      <c r="O33" t="inlineStr">
        <is>
          <t>? non publié</t>
        </is>
      </c>
      <c r="P33" t="inlineStr">
        <is>
          <t>OK – marché FR fragmenté (petites fermes mohair FR), aucun acteur dominant</t>
        </is>
      </c>
      <c r="Q33" t="inlineStr">
        <is>
          <t>RETENU</t>
        </is>
      </c>
      <c r="R33" t="inlineStr">
        <is>
          <t>Très léger, ticket ≥60 €, fort avantage d'origine ; obtenir devis usine (Hinterveld/Mohair Mill)</t>
        </is>
      </c>
      <c r="S33" t="inlineStr">
        <is>
          <t>https://www.textileworld.com/textile-world/fiber-world/2020/10/mohair-south-africa-partner-with-oritain-to-verify-the-origin-of-50-of-the-worlds-mohair/ consulté 2026-10-02</t>
        </is>
      </c>
      <c r="T33" t="inlineStr">
        <is>
          <t>https://www.mohairblanket.co.za/product/mohair-scarves/ (R180–R1 500 ; R415 extra fine) consulté 2026-10-02 ; taux ESTIMATION 1 EUR = 1,14 USD (tradingeconomics.com/euro-area/currency, sept. 2026) et 1 EUR = 18,6 ZAR (exchangerates.org.uk/EUR-ZAR-exchange-rate-history.html, moy. sept. 2026)</t>
        </is>
      </c>
      <c r="U33" t="inlineStr">
        <is>
          <t>https://aufildelamonne.fr/rayon-de-la-boutique-mohair/echarpes-etoles-en-mohair/ ; https://www.mohair-et-lama.com/categorie-produit/mohair-pour-femme/echarpe-mohair/ ; https://www.brundeviantiran.com/fr/echarpe-en-mohair.html consulté 2026-10-02</t>
        </is>
      </c>
    </row>
    <row r="34">
      <c r="A34" t="inlineStr">
        <is>
          <t>C03</t>
        </is>
      </c>
      <c r="B34" t="inlineStr">
        <is>
          <t>Fouta premium (nid d'abeille, coton)</t>
        </is>
      </c>
      <c r="C34" t="inlineStr">
        <is>
          <t>Tunisie</t>
        </is>
      </c>
      <c r="D34" t="inlineStr">
        <is>
          <t>Introuvable (pas de statistique mondiale) ; proxy : fouta = textile traditionnel tunisien, nombreux tisserands exportateurs</t>
        </is>
      </c>
      <c r="E34" t="inlineStr">
        <is>
          <t>Savoir-faire et parc de métiers jacquard en Tunisie</t>
        </is>
      </c>
      <c r="F34" t="inlineStr">
        <is>
          <t>4,50–4,90 € HT (grossiste, 30–1 500 pcs) – borne haute car grossiste FR</t>
        </is>
      </c>
      <c r="G34" t="inlineStr">
        <is>
          <t>24,90–42 € (By Foutas 39,90 € perso ; Maisons du Monde ~42 €)</t>
        </is>
      </c>
      <c r="H34" t="inlineStr">
        <is>
          <t>ESTIMATION 0,3–0,45</t>
        </is>
      </c>
      <c r="I34" t="inlineStr">
        <is>
          <t>30–200 pièces (grossistes)</t>
        </is>
      </c>
      <c r="J34" t="inlineStr">
        <is>
          <t>OK à 39,90 € : rendu 6,6 € vs HT 33,25 € → 80 %</t>
        </is>
      </c>
      <c r="K34" t="inlineStr">
        <is>
          <t>? 39,90 € &lt;40 € à l'unité, OK par 2</t>
        </is>
      </c>
      <c r="L34" t="inlineStr">
        <is>
          <t>OK (16,6 %)</t>
        </is>
      </c>
      <c r="M34" t="inlineStr">
        <is>
          <t>OK</t>
        </is>
      </c>
      <c r="N34" t="inlineStr">
        <is>
          <t>OK – accord d'association UE-Tunisie, produits industriels en franchise https://policy.trade.ec.europa.eu/eu-trade-relationships-country-and-region/countries-and-regions/tunisia_en</t>
        </is>
      </c>
      <c r="O34" t="inlineStr">
        <is>
          <t>OK</t>
        </is>
      </c>
      <c r="P34" t="inlineStr">
        <is>
          <t>KO – marché saturé (By Foutas, Le Comptoir de la Plage, Marinette, MdM), prix plafonnés ~40 €</t>
        </is>
      </c>
      <c r="Q34" t="inlineStr">
        <is>
          <t>ÉLIMINÉ</t>
        </is>
      </c>
      <c r="R34" t="inlineStr">
        <is>
          <t>c7 : marché saturé, peu de place premium</t>
        </is>
      </c>
      <c r="S34" t="inlineStr">
        <is>
          <t>https://www.ladymac.fr/grossiste-fouta/ ; https://fouta-du-sud.com/ consulté 2026-10-02</t>
        </is>
      </c>
      <c r="T34" t="inlineStr">
        <is>
          <t>https://www.ladymac.fr/grossiste-fouta/ ; https://www.grossistefouta.fr/details-fabricant+producteur+et+distibuteur+de+fouta+avec+une+usine+en+tunisie-509 consulté 2026-10-02</t>
        </is>
      </c>
      <c r="U34" t="inlineStr">
        <is>
          <t>https://byfoutas.com/collections/foutas-nid-dabeille-personnalisables ; https://www.maisonsdumonde.com/FR/fr/vc/fouta-nid-d-abeille consulté 2026-10-02</t>
        </is>
      </c>
    </row>
    <row r="35">
      <c r="A35" t="inlineStr">
        <is>
          <t>C04</t>
        </is>
      </c>
      <c r="B35" t="inlineStr">
        <is>
          <t>Ustensiles de cuisine en bois d'olivier (set)</t>
        </is>
      </c>
      <c r="C35" t="inlineStr">
        <is>
          <t>Tunisie</t>
        </is>
      </c>
      <c r="D35" t="inlineStr">
        <is>
          <t>Introuvable (pas de donnée mondiale artisanat bois d'olivier)</t>
        </is>
      </c>
      <c r="E35" t="inlineStr">
        <is>
          <t>Bois d'olivier abondant, nombreux ateliers (Sfax, Sousse) sur Alibaba</t>
        </is>
      </c>
      <c r="F35" t="inlineStr">
        <is>
          <t>5,34–7,58 € (plats de service, MOQ 20) ; set 3 ustensiles 18 € prix public fournisseur tunisien</t>
        </is>
      </c>
      <c r="G35" t="inlineStr">
        <is>
          <t>6,50–9,50 € l'unité (SourceShop)</t>
        </is>
      </c>
      <c r="H35" t="inlineStr">
        <is>
          <t>ESTIMATION 0,2–0,4 (set)</t>
        </is>
      </c>
      <c r="I35" t="inlineStr">
        <is>
          <t>10–50</t>
        </is>
      </c>
      <c r="J35" t="inlineStr">
        <is>
          <t>? dépend du set ; prix FR très bas</t>
        </is>
      </c>
      <c r="K35" t="inlineStr">
        <is>
          <t>KO – unités 6–10 €, set rarement ≥40 €</t>
        </is>
      </c>
      <c r="L35" t="inlineStr">
        <is>
          <t xml:space="preserve">? </t>
        </is>
      </c>
      <c r="M35" t="inlineStr">
        <is>
          <t>OK</t>
        </is>
      </c>
      <c r="N35" t="inlineStr">
        <is>
          <t>OK – accord UE-Tunisie (franchise industriels)</t>
        </is>
      </c>
      <c r="O35" t="inlineStr">
        <is>
          <t>OK</t>
        </is>
      </c>
      <c r="P35" t="inlineStr">
        <is>
          <t>KO – marché banalisé (SourceShop, Lartisanet, Naturolive en direct)</t>
        </is>
      </c>
      <c r="Q35" t="inlineStr">
        <is>
          <t>ÉLIMINÉ</t>
        </is>
      </c>
      <c r="R35" t="inlineStr">
        <is>
          <t>c2 et c7 : panier trop faible, produit banalisé</t>
        </is>
      </c>
      <c r="S35" t="inlineStr">
        <is>
          <t>https://www.alibaba.com/tunisia-olive-wood-suppliers.html consulté 2026-10-02</t>
        </is>
      </c>
      <c r="T35" t="inlineStr">
        <is>
          <t>https://www.alibaba.com/showroom/tunisia-dinnerware.html ; https://www.natur-olive.com/boutique consulté 2026-10-02</t>
        </is>
      </c>
      <c r="U35" t="inlineStr">
        <is>
          <t>https://sourceshop.fr/ustensiles-de-cuisine/3601-spatule-biseautee-bois-olivier.html consulté 2026-10-02</t>
        </is>
      </c>
    </row>
    <row r="36">
      <c r="A36" t="inlineStr">
        <is>
          <t>C05</t>
        </is>
      </c>
      <c r="B36" t="inlineStr">
        <is>
          <t>Babouches cuir artisanales</t>
        </is>
      </c>
      <c r="C36" t="inlineStr">
        <is>
          <t>Maroc</t>
        </is>
      </c>
      <c r="D36" t="inlineStr">
        <is>
          <t>Introuvable ; proxy : 1 597 offres de babouches marocaines sur Alibaba, Fès/Marrakech centres historiques</t>
        </is>
      </c>
      <c r="E36" t="inlineStr">
        <is>
          <t>Tanneries et cordonniers traditionnels Fès/Marrakech</t>
        </is>
      </c>
      <c r="F36" t="inlineStr">
        <is>
          <t>9,6–11,4 € (12–13 USD/paire cuir fait main ; MOQ 10–20)</t>
        </is>
      </c>
      <c r="G36" t="inlineStr">
        <is>
          <t>36,90–44,90 € (Babouches France)</t>
        </is>
      </c>
      <c r="H36" t="inlineStr">
        <is>
          <t>ESTIMATION 0,3–0,4 la paire</t>
        </is>
      </c>
      <c r="I36" t="inlineStr">
        <is>
          <t>10–20 paires</t>
        </is>
      </c>
      <c r="J36" t="inlineStr">
        <is>
          <t>KO à 44,90 € : rendu 14,8 € vs HT 37,4 € → 60 %</t>
        </is>
      </c>
      <c r="K36" t="inlineStr">
        <is>
          <t>OK (≈40 € ; ≥40 € avec 2e paire)</t>
        </is>
      </c>
      <c r="L36" t="inlineStr">
        <is>
          <t>KO (33 %)</t>
        </is>
      </c>
      <c r="M36" t="inlineStr">
        <is>
          <t>OK</t>
        </is>
      </c>
      <c r="N36" t="inlineStr">
        <is>
          <t>OK – accord d'association UE-Maroc, produits industriels en franchise https://www.piie.com/publications/chapters_preview/4334/10iie4334.pdf</t>
        </is>
      </c>
      <c r="O36" t="inlineStr">
        <is>
          <t>OK</t>
        </is>
      </c>
      <c r="P36" t="inlineStr">
        <is>
          <t>? nombreux vendeurs, prix ancrés 35–45 €</t>
        </is>
      </c>
      <c r="Q36" t="inlineStr">
        <is>
          <t>ÉLIMINÉ</t>
        </is>
      </c>
      <c r="R36" t="inlineStr">
        <is>
          <t>c1 et c3 KO au prix premium constaté ; nécessiterait ≥60 € TTC</t>
        </is>
      </c>
      <c r="S36" t="inlineStr">
        <is>
          <t>https://french.alibaba.com/f/babouche-maroc.html consulté 2026-10-02</t>
        </is>
      </c>
      <c r="T36" t="inlineStr">
        <is>
          <t>https://www.alibaba.com/showroom/leather-babouches.html consulté 2026-10-02 ; taux ESTIMATION 1 EUR = 1,14 USD (tradingeconomics.com/euro-area/currency, sept. 2026) et 1 EUR = 18,6 ZAR (exchangerates.org.uk/EUR-ZAR-exchange-rate-history.html, moy. sept. 2026)</t>
        </is>
      </c>
      <c r="U36" t="inlineStr">
        <is>
          <t>https://www.babouchesfrance.fr/en/collections-hommes consulté 2026-10-02</t>
        </is>
      </c>
    </row>
    <row r="37">
      <c r="A37" t="inlineStr">
        <is>
          <t>C06</t>
        </is>
      </c>
      <c r="B37" t="inlineStr">
        <is>
          <t>Cabas / sac cuir pleine fleur</t>
        </is>
      </c>
      <c r="C37" t="inlineStr">
        <is>
          <t>Maroc</t>
        </is>
      </c>
      <c r="D37" t="inlineStr">
        <is>
          <t>Introuvable</t>
        </is>
      </c>
      <c r="E37" t="inlineStr">
        <is>
          <t>Tanneries Bab Debbagh (Marrakech) ; artisans maroquiniers</t>
        </is>
      </c>
      <c r="F37" t="inlineStr">
        <is>
          <t>28,1–70,2 € (32–80 USD gros, à partir de 10 pcs)</t>
        </is>
      </c>
      <c r="G37" t="inlineStr">
        <is>
          <t>Proxy : 66–133 € (retail 75–152 USD du même atelier) ; prix FR non relevé</t>
        </is>
      </c>
      <c r="H37" t="inlineStr">
        <is>
          <t>ESTIMATION 0,7–1,0</t>
        </is>
      </c>
      <c r="I37" t="inlineStr">
        <is>
          <t>10+ pièces</t>
        </is>
      </c>
      <c r="J37" t="inlineStr">
        <is>
          <t>? à 133 € : rendu 37,9 € vs HT 110,8 € → 66 % (limite)</t>
        </is>
      </c>
      <c r="K37" t="inlineStr">
        <is>
          <t>OK</t>
        </is>
      </c>
      <c r="L37" t="inlineStr">
        <is>
          <t>KO (28,5 % au plus bas prix usine)</t>
        </is>
      </c>
      <c r="M37" t="inlineStr">
        <is>
          <t>? proche 1 kg</t>
        </is>
      </c>
      <c r="N37" t="inlineStr">
        <is>
          <t>OK – accord UE-Maroc</t>
        </is>
      </c>
      <c r="O37" t="inlineStr">
        <is>
          <t>OK</t>
        </is>
      </c>
      <c r="P37" t="inlineStr">
        <is>
          <t>KO – maroquinerie FR très concurrentielle (DTC nombreux)</t>
        </is>
      </c>
      <c r="Q37" t="inlineStr">
        <is>
          <t>ÉLIMINÉ</t>
        </is>
      </c>
      <c r="R37" t="inlineStr">
        <is>
          <t>c3 KO + marché concurrentiel</t>
        </is>
      </c>
      <c r="S37" t="inlineStr">
        <is>
          <t>Donnée non trouvée</t>
        </is>
      </c>
      <c r="T37" t="inlineStr">
        <is>
          <t>https://www.marrakeche.com/moroccan-genuine-leather-tote-bags/ consulté 2026-10-02 ; taux ESTIMATION 1 EUR = 1,14 USD (tradingeconomics.com/euro-area/currency, sept. 2026) et 1 EUR = 18,6 ZAR (exchangerates.org.uk/EUR-ZAR-exchange-rate-history.html, moy. sept. 2026)</t>
        </is>
      </c>
      <c r="U37" t="inlineStr">
        <is>
          <t>https://www.marrakeche.com/leather-totes-bags/ consulté 2026-10-02</t>
        </is>
      </c>
    </row>
    <row r="38">
      <c r="A38" t="inlineStr">
        <is>
          <t>C07</t>
        </is>
      </c>
      <c r="B38" t="inlineStr">
        <is>
          <t>Housse de coussin handira (laine, sequins)</t>
        </is>
      </c>
      <c r="C38" t="inlineStr">
        <is>
          <t>Maroc</t>
        </is>
      </c>
      <c r="D38" t="inlineStr">
        <is>
          <t>Introuvable (artisanat propre au Maroc, ex. coopératives Aït Bouguemez)</t>
        </is>
      </c>
      <c r="E38" t="inlineStr">
        <is>
          <t>Savoir-faire handira exclusivement marocain (couvertures de mariage berbères) ; fondateur arabophone</t>
        </is>
      </c>
      <c r="F38" t="inlineStr">
        <is>
          <t>2,9–5,5 € (3,25–6,29 USD housses laine marocaines, MOQ 10) – authenticité handira à vérifier</t>
        </is>
      </c>
      <c r="G38" t="inlineStr">
        <is>
          <t>39–59 € (Blanc Bohème 39 €, Bohoccan 39 €, Flo &amp; Jouls 39–59 €)</t>
        </is>
      </c>
      <c r="H38" t="inlineStr">
        <is>
          <t>ESTIMATION 0,3–0,5</t>
        </is>
      </c>
      <c r="I38" t="inlineStr">
        <is>
          <t>10 pièces</t>
        </is>
      </c>
      <c r="J38" t="inlineStr">
        <is>
          <t>OK à 39 € : rendu 7,4 € vs HT 32,5 € → 77 %</t>
        </is>
      </c>
      <c r="K38" t="inlineStr">
        <is>
          <t>OK (39–59 € ; duo ≥40 €)</t>
        </is>
      </c>
      <c r="L38" t="inlineStr">
        <is>
          <t>OK (19 %)</t>
        </is>
      </c>
      <c r="M38" t="inlineStr">
        <is>
          <t>OK léger, non fragile</t>
        </is>
      </c>
      <c r="N38" t="inlineStr">
        <is>
          <t>OK – accord UE-Maroc (franchise industriels)</t>
        </is>
      </c>
      <c r="O38" t="inlineStr">
        <is>
          <t>OK</t>
        </is>
      </c>
      <c r="P38" t="inlineStr">
        <is>
          <t>OK – boutiques bohèmes fragmentées, aucun leader ; place pour marque premium certifiée artisanale</t>
        </is>
      </c>
      <c r="Q38" t="inlineStr">
        <is>
          <t>RETENU</t>
        </is>
      </c>
      <c r="R38" t="inlineStr">
        <is>
          <t>Marges fortes, MOQ très bas ; vérifier authenticité (laine/coton tissé main) — prix usine réel peut être plus élevé</t>
        </is>
      </c>
      <c r="S38" t="inlineStr">
        <is>
          <t>https://www.theanou.com/product/6486-handira-wedding-blanket consulté 2026-10-02</t>
        </is>
      </c>
      <c r="T38" t="inlineStr">
        <is>
          <t>https://www.alibaba.com/showroom/moroccan-wool-pillow-covers.html consulté 2026-10-02 ; taux ESTIMATION 1 EUR = 1,14 USD (tradingeconomics.com/euro-area/currency, sept. 2026) et 1 EUR = 18,6 ZAR (exchangerates.org.uk/EUR-ZAR-exchange-rate-history.html, moy. sept. 2026)</t>
        </is>
      </c>
      <c r="U38" t="inlineStr">
        <is>
          <t>https://www.blancboheme.fr/product-page/housse-de-coussin-handira-beige ; https://bohoccan.com/products/housse-de-coussin-handira ; https://www.floandjouls.com/en/eshop/cushion-handira/ consulté 2026-10-02</t>
        </is>
      </c>
    </row>
    <row r="39">
      <c r="A39" t="inlineStr">
        <is>
          <t>C08</t>
        </is>
      </c>
      <c r="B39" t="inlineStr">
        <is>
          <t>Sac / panier en raphia crocheté</t>
        </is>
      </c>
      <c r="C39" t="inlineStr">
        <is>
          <t>Madagascar</t>
        </is>
      </c>
      <c r="D39" t="inlineStr">
        <is>
          <t>Introuvable ; proxy : Madagascar fournit l'essentiel du raphia haut de gamme (sources commerciales)</t>
        </is>
      </c>
      <c r="E39" t="inlineStr">
        <is>
          <t>Palmier Raphia farinifera endémique ; fabricants locaux MOQ 30</t>
        </is>
      </c>
      <c r="F39" t="inlineStr">
        <is>
          <t>17,5–19,3 € (20–22 USD, MOQ 50)</t>
        </is>
      </c>
      <c r="G39" t="inlineStr">
        <is>
          <t>53–79 € (D'ici et Ailleurs 69 €, RaffiaCreation dès 79 €) ; 285 € (Sans Arcidet)</t>
        </is>
      </c>
      <c r="H39" t="inlineStr">
        <is>
          <t>ESTIMATION 0,3–0,5</t>
        </is>
      </c>
      <c r="I39" t="inlineStr">
        <is>
          <t>30–50 pièces (200 en sur-mesure)</t>
        </is>
      </c>
      <c r="J39" t="inlineStr">
        <is>
          <t>OK à 119 € : rendu 24,9 € vs HT 99,2 € → 75 % ; KO à 79 € (62 %)</t>
        </is>
      </c>
      <c r="K39" t="inlineStr">
        <is>
          <t>OK</t>
        </is>
      </c>
      <c r="L39" t="inlineStr">
        <is>
          <t>OK à 119 € (21 %) ; KO à 79 € (31,5 %)</t>
        </is>
      </c>
      <c r="M39" t="inlineStr">
        <is>
          <t>OK (souple)</t>
        </is>
      </c>
      <c r="N39" t="inlineStr">
        <is>
          <t>OK – EBA (Madagascar PMA, 0 %) https://trade.ec.europa.eu/access-to-markets/en/content/everything-arms-eba</t>
        </is>
      </c>
      <c r="O39" t="inlineStr">
        <is>
          <t>OK</t>
        </is>
      </c>
      <c r="P39" t="inlineStr">
        <is>
          <t>? Sans Arcidet installé en haut de gamme, Etsy en bas ; créneau 100–150 € possible</t>
        </is>
      </c>
      <c r="Q39" t="inlineStr">
        <is>
          <t>RETENU</t>
        </is>
      </c>
      <c r="R39" t="inlineStr">
        <is>
          <t>Sous condition de positionnement ≥110 € TTC (design + cuir) ; hors vanille conforme</t>
        </is>
      </c>
      <c r="S39" t="inlineStr">
        <is>
          <t>https://www.blessed-raffia.com/en/why-is-raffia-from-madagascar-considered-the-best-in-the-world/ ; https://dildura.com/where-are-raffia-bags-made/ consulté 2026-10-02</t>
        </is>
      </c>
      <c r="T39" t="inlineStr">
        <is>
          <t>https://www.alibaba.com/countrysearch/MG/raffia-bags.html ; https://raffia-mada.com/en (MOQ 30) consulté 2026-10-02 ; taux ESTIMATION 1 EUR = 1,14 USD (tradingeconomics.com/euro-area/currency, sept. 2026) et 1 EUR = 18,6 ZAR (exchangerates.org.uk/EUR-ZAR-exchange-rate-history.html, moy. sept. 2026)</t>
        </is>
      </c>
      <c r="U39" t="inlineStr">
        <is>
          <t>https://dicietailleurs.fr/boutique/artisanat-malgache/panier-sac/sac-crochet-exotique-raphia-fleur-raphia/ ; https://raffiacreation.com/ ; https://oua-concept.com/sacs-boheme-pochettes-artisanales/169-le-sac-sam-havane-en-raphia-cuir-de-madagascar-24x10-cm-sans-arcidet.html consulté 2026-10-02</t>
        </is>
      </c>
    </row>
    <row r="40">
      <c r="A40" t="inlineStr">
        <is>
          <t>C09</t>
        </is>
      </c>
      <c r="B40" t="inlineStr">
        <is>
          <t>Panier bolga (herbe à éléphant, anses cuir)</t>
        </is>
      </c>
      <c r="C40" t="inlineStr">
        <is>
          <t>Ghana</t>
        </is>
      </c>
      <c r="D40" t="inlineStr">
        <is>
          <t>Introuvable ; proxy : exportations ghanéennes de paniers ≈10 M USD en 2024</t>
        </is>
      </c>
      <c r="E40" t="inlineStr">
        <is>
          <t>Origine Bolgatanga (herbe locale), milliers de tisserandes</t>
        </is>
      </c>
      <c r="F40" t="inlineStr">
        <is>
          <t>3,45–6,90 € (MOQ 100) – origine ghanéenne à vérifier ; grossiste US 20,50 USD</t>
        </is>
      </c>
      <c r="G40" t="inlineStr">
        <is>
          <t>47,30–95,50 € (Artisans du Monde 54,90 € ; Ikama 95,50 €)</t>
        </is>
      </c>
      <c r="H40" t="inlineStr">
        <is>
          <t>ESTIMATION 0,5–0,8 (volumineux)</t>
        </is>
      </c>
      <c r="I40" t="inlineStr">
        <is>
          <t>50–100</t>
        </is>
      </c>
      <c r="J40" t="inlineStr">
        <is>
          <t>OK à 54,90 € : rendu 9,3 € vs HT 45,75 € → 80 %</t>
        </is>
      </c>
      <c r="K40" t="inlineStr">
        <is>
          <t>OK</t>
        </is>
      </c>
      <c r="L40" t="inlineStr">
        <is>
          <t>OK (17 %) mais coef. 1,35 probablement sous-estimé (volume)</t>
        </is>
      </c>
      <c r="M40" t="inlineStr">
        <is>
          <t>? &lt;1 kg mais très volumineux (poids volumétrique)</t>
        </is>
      </c>
      <c r="N40" t="inlineStr">
        <is>
          <t>OK – APE intérimaire UE-Ghana, 0 % depuis 2016 https://trade.ec.europa.eu/access-to-markets/en/content/epa-west-africa</t>
        </is>
      </c>
      <c r="O40" t="inlineStr">
        <is>
          <t>OK</t>
        </is>
      </c>
      <c r="P40" t="inlineStr">
        <is>
          <t>? commerce équitable présent (15–55 €), pas de marque premium dominante</t>
        </is>
      </c>
      <c r="Q40" t="inlineStr">
        <is>
          <t>RETENU</t>
        </is>
      </c>
      <c r="R40" t="inlineStr">
        <is>
          <t>Sous réserve : coût fret volumétrique réel et provenance Bolgatanga certifiée</t>
        </is>
      </c>
      <c r="S40" t="inlineStr">
        <is>
          <t>https://www.modernghana.com/news/1480023/revamping-the-basket-industry-a-gateway-to-sustai.amp consulté 2026-10-02</t>
        </is>
      </c>
      <c r="T40" t="inlineStr">
        <is>
          <t>https://www.alibaba.com/showroom/bolga-ghana-baskets.html ; https://www.swahiliwholesale.com/collections/ghana-bolga-baskets consulté 2026-10-02</t>
        </is>
      </c>
      <c r="U40" t="inlineStr">
        <is>
          <t>https://www.boutique-artisans-du-monde.com/panier-bolga-zebra.html ; https://www.ikama-art.com/produit/panier-moyen-bolga-naturel-ajoure-anses-camel/ consulté 2026-10-02</t>
        </is>
      </c>
    </row>
    <row r="41">
      <c r="A41" t="inlineStr">
        <is>
          <t>C10</t>
        </is>
      </c>
      <c r="B41" t="inlineStr">
        <is>
          <t>Taies d'oreiller percale coton égyptien (paire)</t>
        </is>
      </c>
      <c r="C41" t="inlineStr">
        <is>
          <t>Égypte</t>
        </is>
      </c>
      <c r="D41" t="inlineStr">
        <is>
          <t>Proxy : Égypte ≈20 % du coton longue soie ; ELS = ~3 % du coton mondial</t>
        </is>
      </c>
      <c r="E41" t="inlineStr">
        <is>
          <t>Fibre Giza ELS ; filière textile intégrée</t>
        </is>
      </c>
      <c r="F41" t="inlineStr">
        <is>
          <t>ESTIMATION ≈7 € (8 USD/pièce parures &amp; serviettes, MOQ 370)</t>
        </is>
      </c>
      <c r="G41" t="inlineStr">
        <is>
          <t>41,67 € (La Serviette Paris) à 123,75 € (MPC)</t>
        </is>
      </c>
      <c r="H41" t="inlineStr">
        <is>
          <t>ESTIMATION 0,3</t>
        </is>
      </c>
      <c r="I41" t="inlineStr">
        <is>
          <t>300–500</t>
        </is>
      </c>
      <c r="J41" t="inlineStr">
        <is>
          <t>OK à 41,67 € : rendu 9,5 € vs HT 34,7 € → 73 %</t>
        </is>
      </c>
      <c r="K41" t="inlineStr">
        <is>
          <t>OK</t>
        </is>
      </c>
      <c r="L41" t="inlineStr">
        <is>
          <t>OK (22,8 %)</t>
        </is>
      </c>
      <c r="M41" t="inlineStr">
        <is>
          <t>OK</t>
        </is>
      </c>
      <c r="N41" t="inlineStr">
        <is>
          <t>OK – accord d'association UE-Égypte (2004), industriels en franchise https://trade.ec.europa.eu/access-to-markets/en/content/eu-egypt-association-agreement</t>
        </is>
      </c>
      <c r="O41" t="inlineStr">
        <is>
          <t>? 370–500 (limite)</t>
        </is>
      </c>
      <c r="P41" t="inlineStr">
        <is>
          <t>KO – linge de lit DTC saturé (La Serviette Paris, Cotton Co, Merci…)</t>
        </is>
      </c>
      <c r="Q41" t="inlineStr">
        <is>
          <t>ÉLIMINÉ</t>
        </is>
      </c>
      <c r="R41" t="inlineStr">
        <is>
          <t>c7 marché saturé ; MOQ limite</t>
        </is>
      </c>
      <c r="S41" t="inlineStr">
        <is>
          <t>https://www.cairotoptours.com/us/egypt-travel-guide/shopping-in-egypt/details-about-long-staple-cotton ; https://apps.fas.usda.gov/newgainapi/api/Report/DownloadReportByFileName?fileName=Cotton+and+Products+Annual_Cairo_Egypt_04-01-2020 consulté 2026-10-02</t>
        </is>
      </c>
      <c r="T41" t="inlineStr">
        <is>
          <t>https://www.exporthub.com/egyptian-cotton-manufacturers/ consulté 2026-10-02 ; taux ESTIMATION 1 EUR = 1,14 USD (tradingeconomics.com/euro-area/currency, sept. 2026) et 1 EUR = 18,6 ZAR (exchangerates.org.uk/EUR-ZAR-exchange-rate-history.html, moy. sept. 2026)</t>
        </is>
      </c>
      <c r="U41" t="inlineStr">
        <is>
          <t>https://laservietteparis.com/fr/chambre/41-taies-d-oreiller-x2-percale-de-coton-egyptien.html ; https://www.mpcmaison.com/products/taies-oreiller-percale-coton-eternelle consulté 2026-10-02</t>
        </is>
      </c>
    </row>
    <row r="42">
      <c r="A42" t="inlineStr">
        <is>
          <t>C11</t>
        </is>
      </c>
      <c r="B42" t="inlineStr">
        <is>
          <t>Peignoir léger nid d'abeille coton égyptien</t>
        </is>
      </c>
      <c r="C42" t="inlineStr">
        <is>
          <t>Égypte</t>
        </is>
      </c>
      <c r="D42" t="inlineStr">
        <is>
          <t>Proxy : Égypte ≈20 % du coton longue soie</t>
        </is>
      </c>
      <c r="E42" t="inlineStr">
        <is>
          <t>Fibre ELS + fabricants égyptiens de peignoirs OEM (Memo Textile)</t>
        </is>
      </c>
      <c r="F42" t="inlineStr">
        <is>
          <t>6,1–7,9 € (7–9 USD, MOQ 50, logo brodé)</t>
        </is>
      </c>
      <c r="G42" t="inlineStr">
        <is>
          <t>54,99–85 € (Univers Peignoir 54,99 €, CottonCo 60 €, Blanc Cerise 85 €)</t>
        </is>
      </c>
      <c r="H42" t="inlineStr">
        <is>
          <t>ESTIMATION 0,6–0,9</t>
        </is>
      </c>
      <c r="I42" t="inlineStr">
        <is>
          <t>50</t>
        </is>
      </c>
      <c r="J42" t="inlineStr">
        <is>
          <t>OK à 60 € : rendu 9,5 € vs HT 50 € → 81 %</t>
        </is>
      </c>
      <c r="K42" t="inlineStr">
        <is>
          <t>OK</t>
        </is>
      </c>
      <c r="L42" t="inlineStr">
        <is>
          <t>OK (15,8 %)</t>
        </is>
      </c>
      <c r="M42" t="inlineStr">
        <is>
          <t>? &lt;1 kg à vérifier par taille</t>
        </is>
      </c>
      <c r="N42" t="inlineStr">
        <is>
          <t>OK – accord UE-Égypte (franchise industriels)</t>
        </is>
      </c>
      <c r="O42" t="inlineStr">
        <is>
          <t>OK</t>
        </is>
      </c>
      <c r="P42" t="inlineStr">
        <is>
          <t>OK – acteurs moyens (CottonCo, Blanc Cerise), pas de dominant ; angle 'coton Giza fait en Égypte'</t>
        </is>
      </c>
      <c r="Q42" t="inlineStr">
        <is>
          <t>RETENU</t>
        </is>
      </c>
      <c r="R42" t="inlineStr">
        <is>
          <t>Fortes marges, MOQ 50 ; exiger origine Égypte (règle d'origine) et poids &lt;1 kg</t>
        </is>
      </c>
      <c r="S42" t="inlineStr">
        <is>
          <t>https://www.cairotoptours.com/us/egypt-travel-guide/shopping-in-egypt/details-about-long-staple-cotton consulté 2026-10-02</t>
        </is>
      </c>
      <c r="T42" t="inlineStr">
        <is>
          <t>https://apparel.alibaba.com/supplier/egyptian-cotton-bath-robes-wholesaler ; https://www.memotextile.com/bathrobe.html consulté 2026-10-02 ; taux ESTIMATION 1 EUR = 1,14 USD (tradingeconomics.com/euro-area/currency, sept. 2026) et 1 EUR = 18,6 ZAR (exchangerates.org.uk/EUR-ZAR-exchange-rate-history.html, moy. sept. 2026)</t>
        </is>
      </c>
      <c r="U42" t="inlineStr">
        <is>
          <t>https://cottonco.fr/peignoir-waffle.html ; https://www.blanc-cerise.com/collections/peignoir-nid-dabeille consulté 2026-10-02</t>
        </is>
      </c>
    </row>
    <row r="43">
      <c r="A43" t="inlineStr">
        <is>
          <t>C12</t>
        </is>
      </c>
      <c r="B43" t="inlineStr">
        <is>
          <t>Café de spécialité Yirgacheffe G1 (250 g)</t>
        </is>
      </c>
      <c r="C43" t="inlineStr">
        <is>
          <t>Éthiopie</t>
        </is>
      </c>
      <c r="D43" t="inlineStr">
        <is>
          <t>≈3–4,5 % (5e producteur mondial, 1er d'Afrique)</t>
        </is>
      </c>
      <c r="E43" t="inlineStr">
        <is>
          <t>Berceau de l'arabica, crus de spécialité</t>
        </is>
      </c>
      <c r="F43" t="inlineStr">
        <is>
          <t>Vert FOB 8–12 USD/kg ; ESTIMATION ≈3,2 €/250 g torréfié (0,3 kg vert)</t>
        </is>
      </c>
      <c r="G43" t="inlineStr">
        <is>
          <t>6,90–11,85 €/250 g</t>
        </is>
      </c>
      <c r="H43" t="inlineStr">
        <is>
          <t>0,25</t>
        </is>
      </c>
      <c r="I43" t="inlineStr">
        <is>
          <t>Vert : sacs 60 kg ; lots 1–5 t</t>
        </is>
      </c>
      <c r="J43" t="inlineStr">
        <is>
          <t>? hors coût torréfaction</t>
        </is>
      </c>
      <c r="K43" t="inlineStr">
        <is>
          <t>KO (unité ~10 €)</t>
        </is>
      </c>
      <c r="L43" t="inlineStr">
        <is>
          <t>?</t>
        </is>
      </c>
      <c r="M43" t="inlineStr">
        <is>
          <t>KO – DLUO café torréfié ESTIMATION ~12 mois (&lt;18)</t>
        </is>
      </c>
      <c r="N43" t="inlineStr">
        <is>
          <t>OK – EBA 0 %</t>
        </is>
      </c>
      <c r="O43" t="inlineStr">
        <is>
          <t xml:space="preserve">? </t>
        </is>
      </c>
      <c r="P43" t="inlineStr">
        <is>
          <t>KO – centaines de torréfacteurs FR</t>
        </is>
      </c>
      <c r="Q43" t="inlineStr">
        <is>
          <t>ÉLIMINÉ</t>
        </is>
      </c>
      <c r="R43" t="inlineStr">
        <is>
          <t>c2, c4, c7</t>
        </is>
      </c>
      <c r="S43" t="inlineStr">
        <is>
          <t>https://en.wikipedia.org/wiki/Coffee_production_in_Ethiopia consulté 2026-10-02</t>
        </is>
      </c>
      <c r="T43" t="inlineStr">
        <is>
          <t>https://www.ethiocoffee.co/insights/ethiopian-coffee-pricing-fob-guide consulté 2026-10-02</t>
        </is>
      </c>
      <c r="U43" t="inlineStr">
        <is>
          <t>https://www.cafes-pfaff.com/cafes-en-grain/4056-ethiopie-yirgacheffe-banko-gotiti-cafe-en-grain.html ; https://www.maxicoffee.com/250g-cafe-grain-professionnel-ethiopie-yirgacheffe-lugat-p-208425.html consulté 2026-10-02</t>
        </is>
      </c>
    </row>
    <row r="44">
      <c r="A44" t="inlineStr">
        <is>
          <t>C13</t>
        </is>
      </c>
      <c r="B44" t="inlineStr">
        <is>
          <t>Rooibos premium (vrac / coffret)</t>
        </is>
      </c>
      <c r="C44" t="inlineStr">
        <is>
          <t>Afrique du Sud</t>
        </is>
      </c>
      <c r="D44" t="inlineStr">
        <is>
          <t>≈100 % (cultivé uniquement dans le Cederberg)</t>
        </is>
      </c>
      <c r="E44" t="inlineStr">
        <is>
          <t>Monopole géographique</t>
        </is>
      </c>
      <c r="F44" t="inlineStr">
        <is>
          <t>5,5–11,4 €/kg (6,32–13 USD/kg export 2025)</t>
        </is>
      </c>
      <c r="G44" t="inlineStr">
        <is>
          <t>6,20–12,51 €/100 g</t>
        </is>
      </c>
      <c r="H44" t="inlineStr">
        <is>
          <t>0,1</t>
        </is>
      </c>
      <c r="I44" t="inlineStr">
        <is>
          <t>ESTIMATION 20–100 kg vrac</t>
        </is>
      </c>
      <c r="J44" t="inlineStr">
        <is>
          <t>OK (vrac très bon marché)</t>
        </is>
      </c>
      <c r="K44" t="inlineStr">
        <is>
          <t>KO (unité 6–13 €)</t>
        </is>
      </c>
      <c r="L44" t="inlineStr">
        <is>
          <t>OK</t>
        </is>
      </c>
      <c r="M44" t="inlineStr">
        <is>
          <t>OK (DLUO ESTIMATION ≥18 mois sec)</t>
        </is>
      </c>
      <c r="N44" t="inlineStr">
        <is>
          <t>OK – APE UE-SADC</t>
        </is>
      </c>
      <c r="O44" t="inlineStr">
        <is>
          <t>OK</t>
        </is>
      </c>
      <c r="P44" t="inlineStr">
        <is>
          <t>KO – thé/infusion saturé (Palais des Thés, Dammann, Kusmi, bio GMS)</t>
        </is>
      </c>
      <c r="Q44" t="inlineStr">
        <is>
          <t>ÉLIMINÉ</t>
        </is>
      </c>
      <c r="R44" t="inlineStr">
        <is>
          <t>c2 et c7</t>
        </is>
      </c>
      <c r="S44" t="inlineStr">
        <is>
          <t>https://en.wikipedia.org/wiki/Rooibos ; https://www.klipopmekaar.co.za/rooibos-only-grown-in-south-africa/ consulté 2026-10-02</t>
        </is>
      </c>
      <c r="T44" t="inlineStr">
        <is>
          <t>https://dir.tridge.com/prices/rooibos-tea/ZA consulté 2026-10-02 ; taux ESTIMATION 1 EUR = 1,14 USD (tradingeconomics.com/euro-area/currency, sept. 2026) et 1 EUR = 18,6 ZAR (exchangerates.org.uk/EUR-ZAR-exchange-rate-history.html, moy. sept. 2026)</t>
        </is>
      </c>
      <c r="U44" t="inlineStr">
        <is>
          <t>https://www.maison-lagrange.com/infusions/785-simplement-rooibos-bio-3760259311858.html ; https://www.greenweez.com/produit/rooibos-bio-infusion-vrac-sans-theine-antioxydant-100g consulté 2026-10-02</t>
        </is>
      </c>
    </row>
    <row r="45">
      <c r="A45" t="inlineStr">
        <is>
          <t>C14</t>
        </is>
      </c>
      <c r="B45" t="inlineStr">
        <is>
          <t>Sac kiondo sisal tissé main + cuir</t>
        </is>
      </c>
      <c r="C45" t="inlineStr">
        <is>
          <t>Kenya</t>
        </is>
      </c>
      <c r="D45" t="inlineStr">
        <is>
          <t>≈10 % du sisal mondial (28 kt / 281 kt en 2013, calcul) ; 3e producteur</t>
        </is>
      </c>
      <c r="E45" t="inlineStr">
        <is>
          <t>Tissage kiondo propre aux Kamba/Kikuyu</t>
        </is>
      </c>
      <c r="F45" t="inlineStr">
        <is>
          <t>15,8–18 € (18–20,50 USD, MOQ 10–12)</t>
        </is>
      </c>
      <c r="G45" t="inlineStr">
        <is>
          <t>49–92,47 € (Anka 49–66 € ; Africabaie 92,47 €)</t>
        </is>
      </c>
      <c r="H45" t="inlineStr">
        <is>
          <t>ESTIMATION 0,4–0,6</t>
        </is>
      </c>
      <c r="I45" t="inlineStr">
        <is>
          <t>5–12</t>
        </is>
      </c>
      <c r="J45" t="inlineStr">
        <is>
          <t>OK à 92 € : rendu 21,3 € vs HT 77,1 € → 72 % ; KO à 66 € (61 %)</t>
        </is>
      </c>
      <c r="K45" t="inlineStr">
        <is>
          <t>OK</t>
        </is>
      </c>
      <c r="L45" t="inlineStr">
        <is>
          <t>OK à 92 € (23 %) ; KO à 66 € (32 %)</t>
        </is>
      </c>
      <c r="M45" t="inlineStr">
        <is>
          <t>OK</t>
        </is>
      </c>
      <c r="N45" t="inlineStr">
        <is>
          <t>OK – APE UE-Kenya, 0 % depuis 07/2024 https://www.the-star.co.ke/news/2024-07-01-kenyan-exports-start-accessing-eu-market-duty-free</t>
        </is>
      </c>
      <c r="O45" t="inlineStr">
        <is>
          <t>OK</t>
        </is>
      </c>
      <c r="P45" t="inlineStr">
        <is>
          <t>OK – pas de marque FR établie</t>
        </is>
      </c>
      <c r="Q45" t="inlineStr">
        <is>
          <t>RETENU</t>
        </is>
      </c>
      <c r="R45" t="inlineStr">
        <is>
          <t>Sous condition prix ≥89 € (design, cuir premium) ; marge étroite</t>
        </is>
      </c>
      <c r="S45" t="inlineStr">
        <is>
          <t>https://www.worldatlas.com/articles/top-sisal-producing-countries-in-the-world.html consulté 2026-10-02</t>
        </is>
      </c>
      <c r="T45" t="inlineStr">
        <is>
          <t>https://africanscreative.com/product/african-kiondo/ ; https://www.adafit.co.ke/product/sisal-kiondo-bags-and-baskets-2/ consulté 2026-10-02 ; taux ESTIMATION 1 EUR = 1,14 USD (tradingeconomics.com/euro-area/currency, sept. 2026) et 1 EUR = 18,6 ZAR (exchangerates.org.uk/EUR-ZAR-exchange-rate-history.html, moy. sept. 2026)</t>
        </is>
      </c>
      <c r="U45" t="inlineStr">
        <is>
          <t>https://www.africabaie.com/produit/sac-kiondo-africain/ ; https://marketplace.anka.africa/fr/article/kiondo-bag-african-bag-sisal-bag-leather-bag-kenyan-bag-handwoven-bag-woven-bag-shoulder-bags-yellow-cotton/VIQ4BDA consulté 2026-10-02</t>
        </is>
      </c>
    </row>
    <row r="46">
      <c r="A46" t="inlineStr">
        <is>
          <t>C15</t>
        </is>
      </c>
      <c r="B46" t="inlineStr">
        <is>
          <t>Dattes Deglet Nour premium (coffret)</t>
        </is>
      </c>
      <c r="C46" t="inlineStr">
        <is>
          <t>Algérie</t>
        </is>
      </c>
      <c r="D46" t="inlineStr">
        <is>
          <t>Algérie 2e producteur de Deglet Nour ; Algérie+Tunisie ≈90 % de l'offre</t>
        </is>
      </c>
      <c r="E46" t="inlineStr">
        <is>
          <t>Oasis de Tolga/Biskra</t>
        </is>
      </c>
      <c r="F46" t="inlineStr">
        <is>
          <t>1,4–4,4 €/kg (FOB 2–5 USD/kg)</t>
        </is>
      </c>
      <c r="G46" t="inlineStr">
        <is>
          <t>8,39 €/400 g coffret bio (Secadou) ; 6–16 €/kg</t>
        </is>
      </c>
      <c r="H46" t="inlineStr">
        <is>
          <t>0,4–1</t>
        </is>
      </c>
      <c r="I46" t="inlineStr">
        <is>
          <t>ESTIMATION 1 t (conteneur)</t>
        </is>
      </c>
      <c r="J46" t="inlineStr">
        <is>
          <t>OK</t>
        </is>
      </c>
      <c r="K46" t="inlineStr">
        <is>
          <t>KO</t>
        </is>
      </c>
      <c r="L46" t="inlineStr">
        <is>
          <t>OK</t>
        </is>
      </c>
      <c r="M46" t="inlineStr">
        <is>
          <t xml:space="preserve">KO – périssable (DLUO ESTIMATION ~12 mois) </t>
        </is>
      </c>
      <c r="N46" t="inlineStr">
        <is>
          <t>? préférence tarifaire accord UE-Algérie sur ex 0804 10 00 (contingent) https://www.bilaterals.org/IMG/pdf/EU-DZ_FTA_annexes-2.pdf</t>
        </is>
      </c>
      <c r="O46" t="inlineStr">
        <is>
          <t>KO (volumes)</t>
        </is>
      </c>
      <c r="P46" t="inlineStr">
        <is>
          <t>KO – GMS et bio (Carrefour, Naturalia)</t>
        </is>
      </c>
      <c r="Q46" t="inlineStr">
        <is>
          <t>ÉLIMINÉ</t>
        </is>
      </c>
      <c r="R46" t="inlineStr">
        <is>
          <t>c2, c4, c6, c7</t>
        </is>
      </c>
      <c r="S46" t="inlineStr">
        <is>
          <t>https://en.wikipedia.org/wiki/Deglet_Nour consulté 2026-10-02</t>
        </is>
      </c>
      <c r="T46" t="inlineStr">
        <is>
          <t>https://www.espaceagro.com/dates-deglet-nour/expGB-dates-deglet-nour.html consulté 2026-10-02 ; taux ESTIMATION 1 EUR = 1,14 USD (tradingeconomics.com/euro-area/currency, sept. 2026) et 1 EUR = 18,6 ZAR (exchangerates.org.uk/EUR-ZAR-exchange-rate-history.html, moy. sept. 2026)</t>
        </is>
      </c>
      <c r="U46" t="inlineStr">
        <is>
          <t>https://www.secadou.fr/products/datte-deglet-nour-de-tolga-algerie-equitable-selection-extra-biofrui1981 consulté 2026-10-02</t>
        </is>
      </c>
    </row>
    <row r="47">
      <c r="A47" t="inlineStr">
        <is>
          <t>C16</t>
        </is>
      </c>
      <c r="B47" t="inlineStr">
        <is>
          <t>Écharpe coton filé et tissé main (netela/gabi)</t>
        </is>
      </c>
      <c r="C47" t="inlineStr">
        <is>
          <t>Éthiopie</t>
        </is>
      </c>
      <c r="D47" t="inlineStr">
        <is>
          <t>Introuvable (artisanat) ; proxy : Sabahar, atelier Fair Trade Addis-Abeba depuis 20 ans</t>
        </is>
      </c>
      <c r="E47" t="inlineStr">
        <is>
          <t>Coton filé main, métiers traditionnels</t>
        </is>
      </c>
      <c r="F47" t="inlineStr">
        <is>
          <t>ESTIMATION 23,7 € (détail Sabahar 54 USD × 0,5 / 1,14) – prix gros non publié</t>
        </is>
      </c>
      <c r="G47" t="inlineStr">
        <is>
          <t>Introuvable en FR ; proxy 47–54 € (détail Sabahar 54–62 USD)</t>
        </is>
      </c>
      <c r="H47" t="inlineStr">
        <is>
          <t>ESTIMATION 0,2</t>
        </is>
      </c>
      <c r="I47" t="inlineStr">
        <is>
          <t xml:space="preserve">? </t>
        </is>
      </c>
      <c r="J47" t="inlineStr">
        <is>
          <t>KO à 54 € : rendu 32 € vs HT 45 € → 29 %</t>
        </is>
      </c>
      <c r="K47" t="inlineStr">
        <is>
          <t>OK</t>
        </is>
      </c>
      <c r="L47" t="inlineStr">
        <is>
          <t>KO (59 %)</t>
        </is>
      </c>
      <c r="M47" t="inlineStr">
        <is>
          <t>OK</t>
        </is>
      </c>
      <c r="N47" t="inlineStr">
        <is>
          <t>OK – EBA 0 %</t>
        </is>
      </c>
      <c r="O47" t="inlineStr">
        <is>
          <t>?</t>
        </is>
      </c>
      <c r="P47" t="inlineStr">
        <is>
          <t>? niche peu connue en FR</t>
        </is>
      </c>
      <c r="Q47" t="inlineStr">
        <is>
          <t>ÉLIMINÉ</t>
        </is>
      </c>
      <c r="R47" t="inlineStr">
        <is>
          <t>c1 et c3 KO avec données disponibles (prix gros à obtenir)</t>
        </is>
      </c>
      <c r="S47" t="inlineStr">
        <is>
          <t>https://sabahar.com/collections/style-sabahar-handwoven-ethiopian-textiles consulté 2026-10-02</t>
        </is>
      </c>
      <c r="T47" t="inlineStr">
        <is>
          <t>https://sabahar.com/products/degu-handwoven-ethiopian-scarf consulté 2026-10-02</t>
        </is>
      </c>
      <c r="U47" t="inlineStr">
        <is>
          <t>https://sabahar.com/products/aaron-handwoven-ethiopian-cotton-scarf consulté 2026-10-02</t>
        </is>
      </c>
    </row>
    <row r="48">
      <c r="A48" t="inlineStr">
        <is>
          <t>C17</t>
        </is>
      </c>
      <c r="B48" t="inlineStr">
        <is>
          <t>Panier agaseke tressé (sisal, couvercle)</t>
        </is>
      </c>
      <c r="C48" t="inlineStr">
        <is>
          <t>Rwanda</t>
        </is>
      </c>
      <c r="D48" t="inlineStr">
        <is>
          <t>Introuvable</t>
        </is>
      </c>
      <c r="E48" t="inlineStr">
        <is>
          <t>Vannerie emblématique, coopératives organisées</t>
        </is>
      </c>
      <c r="F48" t="inlineStr">
        <is>
          <t>ESTIMATION 23,7 € (détail coopérative 54 USD × 0,5 /1,14) ; FOB direct possible (Azizi Life)</t>
        </is>
      </c>
      <c r="G48" t="inlineStr">
        <is>
          <t>34,99–44,99 € (La Case de Noudet)</t>
        </is>
      </c>
      <c r="H48" t="inlineStr">
        <is>
          <t>ESTIMATION 0,3</t>
        </is>
      </c>
      <c r="I48" t="inlineStr">
        <is>
          <t>?</t>
        </is>
      </c>
      <c r="J48" t="inlineStr">
        <is>
          <t>KO (rendu 32 € vs HT 37,5 €)</t>
        </is>
      </c>
      <c r="K48" t="inlineStr">
        <is>
          <t>OK à 44,99 €</t>
        </is>
      </c>
      <c r="L48" t="inlineStr">
        <is>
          <t>KO (71 %)</t>
        </is>
      </c>
      <c r="M48" t="inlineStr">
        <is>
          <t>OK</t>
        </is>
      </c>
      <c r="N48" t="inlineStr">
        <is>
          <t>OK – EBA 0 %</t>
        </is>
      </c>
      <c r="O48" t="inlineStr">
        <is>
          <t>?</t>
        </is>
      </c>
      <c r="P48" t="inlineStr">
        <is>
          <t>? niche</t>
        </is>
      </c>
      <c r="Q48" t="inlineStr">
        <is>
          <t>ÉLIMINÉ</t>
        </is>
      </c>
      <c r="R48" t="inlineStr">
        <is>
          <t>c1 et c3</t>
        </is>
      </c>
      <c r="S48" t="inlineStr">
        <is>
          <t>https://www.azizilife.com/agaseke-kamahoro-association/ consulté 2026-10-02</t>
        </is>
      </c>
      <c r="T48" t="inlineStr">
        <is>
          <t>https://www.azizilife.com/agaseke-kamahoro-association/ consulté 2026-10-02</t>
        </is>
      </c>
      <c r="U48" t="inlineStr">
        <is>
          <t>https://lacasedenoudet.com/panier-africain-colore-rwanda-01/ consulté 2026-10-02</t>
        </is>
      </c>
    </row>
    <row r="49">
      <c r="A49" t="inlineStr">
        <is>
          <t>C18</t>
        </is>
      </c>
      <c r="B49" t="inlineStr">
        <is>
          <t>Panier tressé à couvercle (herbe + plastique recyclé)</t>
        </is>
      </c>
      <c r="C49" t="inlineStr">
        <is>
          <t>Sénégal</t>
        </is>
      </c>
      <c r="D49" t="inlineStr">
        <is>
          <t>Introuvable</t>
        </is>
      </c>
      <c r="E49" t="inlineStr">
        <is>
          <t>Vannerie wolof (région de Thiès)</t>
        </is>
      </c>
      <c r="F49" t="inlineStr">
        <is>
          <t>21–30,7 € (24–35 USD, grossiste US – borne haute)</t>
        </is>
      </c>
      <c r="G49" t="inlineStr">
        <is>
          <t>37,90–59 € (Corner Modern Store, Rivière Salée 49 €)</t>
        </is>
      </c>
      <c r="H49" t="inlineStr">
        <is>
          <t>ESTIMATION 0,5–1 (volumineux)</t>
        </is>
      </c>
      <c r="I49" t="inlineStr">
        <is>
          <t>?</t>
        </is>
      </c>
      <c r="J49" t="inlineStr">
        <is>
          <t>KO (rendu 28,4 € vs HT 49,2 € → 42 %)</t>
        </is>
      </c>
      <c r="K49" t="inlineStr">
        <is>
          <t>OK</t>
        </is>
      </c>
      <c r="L49" t="inlineStr">
        <is>
          <t>KO (48 %)</t>
        </is>
      </c>
      <c r="M49" t="inlineStr">
        <is>
          <t>? volumineux</t>
        </is>
      </c>
      <c r="N49" t="inlineStr">
        <is>
          <t>OK – EBA 0 % (Sénégal PMA)</t>
        </is>
      </c>
      <c r="O49" t="inlineStr">
        <is>
          <t>?</t>
        </is>
      </c>
      <c r="P49" t="inlineStr">
        <is>
          <t xml:space="preserve">? </t>
        </is>
      </c>
      <c r="Q49" t="inlineStr">
        <is>
          <t>ÉLIMINÉ</t>
        </is>
      </c>
      <c r="R49" t="inlineStr">
        <is>
          <t>c1, c3 (prix usine direct non trouvé)</t>
        </is>
      </c>
      <c r="S49" t="inlineStr">
        <is>
          <t>https://www.swahiliwholesale.com/collections/shop-all-senegal-baskets consulté 2026-10-02</t>
        </is>
      </c>
      <c r="T49" t="inlineStr">
        <is>
          <t>https://www.swahiliwholesale.com/collections/shop-all-senegal-baskets consulté 2026-10-02 ; taux ESTIMATION 1 EUR = 1,14 USD (tradingeconomics.com/euro-area/currency, sept. 2026) et 1 EUR = 18,6 ZAR (exchangerates.org.uk/EUR-ZAR-exchange-rate-history.html, moy. sept. 2026)</t>
        </is>
      </c>
      <c r="U49" t="inlineStr">
        <is>
          <t>https://www.rivieresalee.store/rangement-deco/paniers/panier-tresse-en-vannerie-du-senegal.html ; https://cornermodernstore.fr/produit/panier-tresse-avec-couvercle-rangement-o245cm-h27cm/ consulté 2026-10-02</t>
        </is>
      </c>
    </row>
    <row r="50">
      <c r="A50" t="inlineStr">
        <is>
          <t>D01</t>
        </is>
      </c>
      <c r="B50" t="inlineStr">
        <is>
          <t>Écharpe tissée 100 % baby alpaga (30×180 cm)</t>
        </is>
      </c>
      <c r="C50" t="inlineStr">
        <is>
          <t>Pérou</t>
        </is>
      </c>
      <c r="D50" t="inlineStr">
        <is>
          <t>≈80 % de la fibre d'alpaga mondiale</t>
        </is>
      </c>
      <c r="E50" t="inlineStr">
        <is>
          <t>Premier producteur mondial de fibre d'alpaga + filature/tissage locaux (Arequipa)</t>
        </is>
      </c>
      <c r="F50" t="inlineStr">
        <is>
          <t>15,41 € (16–19 USD, milieu 17,5 USD ; taux BCE 30/09/2026 1 € = 1,1355 USD (https://euro-rates.info/en/home/EUR/2026-09-30, consulté 2026-10-02))</t>
        </is>
      </c>
      <c r="G50" t="inlineStr">
        <is>
          <t>89,90 €</t>
        </is>
      </c>
      <c r="H50" t="inlineStr">
        <is>
          <t>0,2 (ESTIMATION : écharpe baby alpaga 30×180 cm 150–250 g)</t>
        </is>
      </c>
      <c r="I50" t="inlineStr">
        <is>
          <t>24 (Alibaba)</t>
        </is>
      </c>
      <c r="J50" t="inlineStr">
        <is>
          <t>OK : coût rendu 20,81 € (ESTIMATION ×1,35) ; HT 74,92 € ; marge 72,2 %</t>
        </is>
      </c>
      <c r="K50" t="inlineStr">
        <is>
          <t>OK : 89,90 € ≥ 40 €</t>
        </is>
      </c>
      <c r="L50" t="inlineStr">
        <is>
          <t>OK (limite) : 23,1 % du TTC ; KO si prix usine 19 USD (25,1 %)</t>
        </is>
      </c>
      <c r="M50" t="inlineStr">
        <is>
          <t>OK : ~0,2 kg, textile non fragile</t>
        </is>
      </c>
      <c r="N50" t="inlineStr">
        <is>
          <t>OK : Accord commercial UE–Colombie/Pérou/Équateur (souvent 0 %)</t>
        </is>
      </c>
      <c r="O50" t="inlineStr">
        <is>
          <t>OK : 24</t>
        </is>
      </c>
      <c r="P50" t="inlineStr">
        <is>
          <t>OK : offre FR fragmentée (Maison de l'Alpaga, Alpacissimi, Esprit Nordique), pas d'acteur dominant</t>
        </is>
      </c>
      <c r="Q50" t="inlineStr">
        <is>
          <t>RETENU</t>
        </is>
      </c>
      <c r="R50" t="inlineStr">
        <is>
          <t>Tous critères OK ; marge c3 étroite → négocier ≤17 USD et vérifier origine Pérou (fournisseur arequipeño type Incalpaca/Michell)</t>
        </is>
      </c>
      <c r="S50" t="inlineStr">
        <is>
          <t>https://alpacadelperu.com.pe/en-us/alpacas-world/the-world-needs-alpaca-and-it-comes-from-peru ; https://www.promperu.us/about-alpaca (consulté 2026-10-02)</t>
        </is>
      </c>
      <c r="T50" t="inlineStr">
        <is>
          <t>https://www.alibaba.com/showroom/baby-alpaca-scarf.html (« luxury 100% baby alpaca scarf » 16–19 USD, MOQ 24 ; origine fournisseur non vérifiée) consulté 2026-10-02</t>
        </is>
      </c>
      <c r="U50" t="inlineStr">
        <is>
          <t>https://www.esprit-nordique.fr/en/scarves-and-shawls/179-pure-baby-alpaca-scarves.html (89,90 € ; Alpacissimi 99–109 € https://alpacissimi.com/fr/collections/100-baby-alpaca-scarves) consulté 2026-10-02</t>
        </is>
      </c>
    </row>
    <row r="51">
      <c r="A51" t="inlineStr">
        <is>
          <t>D02</t>
        </is>
      </c>
      <c r="B51" t="inlineStr">
        <is>
          <t>Plaid 100 % baby alpaga 130×180 cm</t>
        </is>
      </c>
      <c r="C51" t="inlineStr">
        <is>
          <t>Pérou</t>
        </is>
      </c>
      <c r="D51" t="inlineStr">
        <is>
          <t>≈80 % de la fibre d'alpaga mondiale</t>
        </is>
      </c>
      <c r="E51" t="inlineStr">
        <is>
          <t>Avantage matière + tissage ; segment déco premium</t>
        </is>
      </c>
      <c r="F51" t="inlineStr">
        <is>
          <t>39,63 € (40–50 USD, milieu 45 USD, fournisseurs péruviens ; taux BCE 30/09/2026 1 € = 1,1355 USD (https://euro-rates.info/en/home/EUR/2026-09-30, consulté 2026-10-02))</t>
        </is>
      </c>
      <c r="G51" t="inlineStr">
        <is>
          <t>259 €</t>
        </is>
      </c>
      <c r="H51" t="inlineStr">
        <is>
          <t>0,5–0,55</t>
        </is>
      </c>
      <c r="I51" t="inlineStr">
        <is>
          <t>6 à 100</t>
        </is>
      </c>
      <c r="J51" t="inlineStr">
        <is>
          <t>OK : coût rendu 53,50 € ; HT 215,83 € ; marge 75,2 %</t>
        </is>
      </c>
      <c r="K51" t="inlineStr">
        <is>
          <t>OK : 259 €</t>
        </is>
      </c>
      <c r="L51" t="inlineStr">
        <is>
          <t>? : 20,7 % à 45 USD ; KO à 76 USD (34,9 %) → devis ≤ 55 USD indispensable</t>
        </is>
      </c>
      <c r="M51" t="inlineStr">
        <is>
          <t>OK : 500–550 g (https://www.amazon.com/Sweet-Dreams-Home-Single-size-Silkiness/dp/B09B5JGVR5 consulté 2026-10-02)</t>
        </is>
      </c>
      <c r="N51" t="inlineStr">
        <is>
          <t>OK : Accord commercial UE–Colombie/Pérou/Équateur (souvent 0 %)</t>
        </is>
      </c>
      <c r="O51" t="inlineStr">
        <is>
          <t>OK : 6–100</t>
        </is>
      </c>
      <c r="P51" t="inlineStr">
        <is>
          <t>OK : nombreuses boutiques (Plaidissimo, Plaid-Addict, Greige) mais aucune dominante</t>
        </is>
      </c>
      <c r="Q51" t="inlineStr">
        <is>
          <t>RETENU</t>
        </is>
      </c>
      <c r="R51" t="inlineStr">
        <is>
          <t>Retenu sous réserve d'un devis 100 % baby alpaga ≤ 55 USD ; ticket élevé = stock immobilisé (100 u ≈ 5 350 € rendu)</t>
        </is>
      </c>
      <c r="S51" t="inlineStr">
        <is>
          <t>https://alpacadelperu.com.pe/en-us/alpacas-world/the-world-needs-alpaca-and-it-comes-from-peru (consulté 2026-10-02)</t>
        </is>
      </c>
      <c r="T51" t="inlineStr">
        <is>
          <t>https://www.alibaba.com/showroom/baby-alpaca-blankets.html (Pérou : plaids baby alpaga faits main 40–50 USD MOQ 6 ; autres offres 76 USD et 110 USD MOQ 100) consulté 2026-10-02</t>
        </is>
      </c>
      <c r="U51" t="inlineStr">
        <is>
          <t>https://www.greige.fr/products/plaid-en-laine-baby-alpaca (259 € ; Plaid-Addict dès 179 € https://www.plaid-addict.com/10-plaid-alpaga) consulté 2026-10-02</t>
        </is>
      </c>
    </row>
    <row r="52">
      <c r="A52" t="inlineStr">
        <is>
          <t>D03</t>
        </is>
      </c>
      <c r="B52" t="inlineStr">
        <is>
          <t>Bonnet maille baby alpaga adulte</t>
        </is>
      </c>
      <c r="C52" t="inlineStr">
        <is>
          <t>Pérou</t>
        </is>
      </c>
      <c r="D52" t="inlineStr">
        <is>
          <t>≈80 % de la fibre d'alpaga mondiale</t>
        </is>
      </c>
      <c r="E52" t="inlineStr">
        <is>
          <t>Tricot alpaga = savoir-faire péruvien ; complément naturel de D01</t>
        </is>
      </c>
      <c r="F52" t="inlineStr">
        <is>
          <t>8,81 € (proxy 10 USD gros, 100 % alpaga ; taux BCE 30/09/2026 1 € = 1,1355 USD (https://euro-rates.info/en/home/EUR/2026-09-30, consulté 2026-10-02))</t>
        </is>
      </c>
      <c r="G52" t="inlineStr">
        <is>
          <t>56 €</t>
        </is>
      </c>
      <c r="H52" t="inlineStr">
        <is>
          <t>0,1 (ESTIMATION bonnet maille)</t>
        </is>
      </c>
      <c r="I52" t="inlineStr">
        <is>
          <t>24 (paliers de remise dès 24 u)</t>
        </is>
      </c>
      <c r="J52" t="inlineStr">
        <is>
          <t>OK : coût rendu 11,89 € ; HT 46,67 € ; marge 74,5 %</t>
        </is>
      </c>
      <c r="K52" t="inlineStr">
        <is>
          <t>OK : 56 € (bundle écharpe+bonnet ≈ 140 €)</t>
        </is>
      </c>
      <c r="L52" t="inlineStr">
        <is>
          <t>OK : 21,2 % (reste OK jusqu'à ≈11,8 € usine soit ≈13,4 USD)</t>
        </is>
      </c>
      <c r="M52" t="inlineStr">
        <is>
          <t>OK</t>
        </is>
      </c>
      <c r="N52" t="inlineStr">
        <is>
          <t>OK : Accord commercial UE–Colombie/Pérou/Équateur (souvent 0 %) ; produit adulte uniquement (pas de gamme enfant)</t>
        </is>
      </c>
      <c r="O52" t="inlineStr">
        <is>
          <t>OK : 24–100</t>
        </is>
      </c>
      <c r="P52" t="inlineStr">
        <is>
          <t>OK : marché fragmenté, saisonnier</t>
        </is>
      </c>
      <c r="Q52" t="inlineStr">
        <is>
          <t>RETENU</t>
        </is>
      </c>
      <c r="R52" t="inlineStr">
        <is>
          <t>OK sur tous critères ; prix usine adulte baby alpaga à confirmer par devis ; forte saisonnalité (oct.–fév.)</t>
        </is>
      </c>
      <c r="S52" t="inlineStr">
        <is>
          <t>https://www.promperu.us/about-alpaca (consulté 2026-10-02)</t>
        </is>
      </c>
      <c r="T52" t="inlineStr">
        <is>
          <t>https://www.peruvianfairtrade.com/hats-beanies/ (bonnet 100 % alpaga 6,50 USD prix producteur / 10 USD gros ; listé enfant → PROXY, adulte baby alpaga probablement plus cher) consulté 2026-10-02</t>
        </is>
      </c>
      <c r="U52" t="inlineStr">
        <is>
          <t>https://sweetalpaga.com/fr/femme/bonnet-alpaga (56–75 € ; Maison de l'Alpaga 38–50 € https://www.lamaisondelalpaga.com/fr/34-bonnets-en-alpaga) consulté 2026-10-02</t>
        </is>
      </c>
    </row>
    <row r="53">
      <c r="A53" t="inlineStr">
        <is>
          <t>D04</t>
        </is>
      </c>
      <c r="B53" t="inlineStr">
        <is>
          <t>Chaussettes alpaga</t>
        </is>
      </c>
      <c r="C53" t="inlineStr">
        <is>
          <t>Pérou</t>
        </is>
      </c>
      <c r="D53" t="inlineStr">
        <is>
          <t>≈80 % de la fibre d'alpaga mondiale</t>
        </is>
      </c>
      <c r="E53" t="inlineStr">
        <is>
          <t>Matière péruvienne</t>
        </is>
      </c>
      <c r="F53" t="inlineStr">
        <is>
          <t>7,00 € (7,95 USD/paire ; taux BCE 30/09/2026 1 € = 1,1355 USD (https://euro-rates.info/en/home/EUR/2026-09-30, consulté 2026-10-02))</t>
        </is>
      </c>
      <c r="G53" t="inlineStr">
        <is>
          <t>27,50 €</t>
        </is>
      </c>
      <c r="H53" t="inlineStr">
        <is>
          <t>0,06 (ESTIMATION)</t>
        </is>
      </c>
      <c r="I53" t="inlineStr">
        <is>
          <t>100–500 paires</t>
        </is>
      </c>
      <c r="J53" t="inlineStr">
        <is>
          <t>KO : coût rendu 9,45 € ; HT 22,92 € ; marge 58,8 %</t>
        </is>
      </c>
      <c r="K53" t="inlineStr">
        <is>
          <t>KO : 27,50 € &lt; 40 € (lot de 2 possible)</t>
        </is>
      </c>
      <c r="L53" t="inlineStr">
        <is>
          <t>KO : 34,4 %</t>
        </is>
      </c>
      <c r="M53" t="inlineStr">
        <is>
          <t>OK</t>
        </is>
      </c>
      <c r="N53" t="inlineStr">
        <is>
          <t>OK : Accord commercial UE–Colombie/Pérou/Équateur (souvent 0 %)</t>
        </is>
      </c>
      <c r="O53" t="inlineStr">
        <is>
          <t>OK</t>
        </is>
      </c>
      <c r="P53" t="inlineStr">
        <is>
          <t>KO : Bleu Forêt, Labonal (made in France) installés</t>
        </is>
      </c>
      <c r="Q53" t="inlineStr">
        <is>
          <t>ÉLIMINÉ</t>
        </is>
      </c>
      <c r="R53" t="inlineStr">
        <is>
          <t>Marge, panier et coût rendu KO</t>
        </is>
      </c>
      <c r="S53" t="inlineStr">
        <is>
          <t>https://www.promperu.us/about-alpaca (consulté 2026-10-02)</t>
        </is>
      </c>
      <c r="T53" t="inlineStr">
        <is>
          <t>https://peruvianlink.com/collections/wholesale-socks consulté 2026-10-02</t>
        </is>
      </c>
      <c r="U53" t="inlineStr">
        <is>
          <t>https://www.bleuforet.fr/fr/1437-chaussettes-femme-alpaga (19–27,50 €) consulté 2026-10-02</t>
        </is>
      </c>
    </row>
    <row r="54">
      <c r="A54" t="inlineStr">
        <is>
          <t>D05</t>
        </is>
      </c>
      <c r="B54" t="inlineStr">
        <is>
          <t>Chapeau Panama toquilla (Cuenca, grade standard/supérieur)</t>
        </is>
      </c>
      <c r="C54" t="inlineStr">
        <is>
          <t>Équateur</t>
        </is>
      </c>
      <c r="D54" t="inlineStr">
        <is>
          <t>≈100 % des vrais Panama en paille toquilla (origine exclusive Équateur) ; ~107 M USD d'export sur 10 ans</t>
        </is>
      </c>
      <c r="E54" t="inlineStr">
        <is>
          <t>Savoir-faire UNESCO (2012), matière endémique ; copies chinoises en papier ≠ toquilla</t>
        </is>
      </c>
      <c r="F54" t="inlineStr">
        <is>
          <t>13,21–26,41 € (15 USD basique à 29,99 USD milieu de gamme ; taux BCE 30/09/2026 1 € = 1,1355 USD (https://euro-rates.info/en/home/EUR/2026-09-30, consulté 2026-10-02))</t>
        </is>
      </c>
      <c r="G54" t="inlineStr">
        <is>
          <t>139 €</t>
        </is>
      </c>
      <c r="H54" t="inlineStr">
        <is>
          <t>0,1 chapeau + carton ≈0,4 (ESTIMATION)</t>
        </is>
      </c>
      <c r="I54" t="inlineStr">
        <is>
          <t>12 par modèle</t>
        </is>
      </c>
      <c r="J54" t="inlineStr">
        <is>
          <t>OK : HT 115,83 € ; marge 84,6 % (15 USD) à 69,2 % (29,99 USD)</t>
        </is>
      </c>
      <c r="K54" t="inlineStr">
        <is>
          <t>OK : 139 €</t>
        </is>
      </c>
      <c r="L54" t="inlineStr">
        <is>
          <t>? : 12,8 % à 15 USD ; 25,6 % (KO) à 29,99 USD → seuil usine ≈29,2 USD</t>
        </is>
      </c>
      <c r="M54" t="inlineStr">
        <is>
          <t>? : léger mais encombrant, bord à protéger (carton rigide) ; non périssable</t>
        </is>
      </c>
      <c r="N54" t="inlineStr">
        <is>
          <t>OK : Accord commercial UE–Colombie/Pérou/Équateur (souvent 0 %)</t>
        </is>
      </c>
      <c r="O54" t="inlineStr">
        <is>
          <t>OK : 12</t>
        </is>
      </c>
      <c r="P54" t="inlineStr">
        <is>
          <t>OK : chapelleries multimarques, pas de marque DTC dominante</t>
        </is>
      </c>
      <c r="Q54" t="inlineStr">
        <is>
          <t>RETENU</t>
        </is>
      </c>
      <c r="R54" t="inlineStr">
        <is>
          <t>Retenu si prix usine ≤ 29 USD à qualité « grade 3-4 » ; saisonnalité estivale ; emballage carton = coût logistique</t>
        </is>
      </c>
      <c r="S54" t="inlineStr">
        <is>
          <t>https://en.wikipedia.org/wiki/Panama_hat ; https://generalairsa.com/en/caida-del-36-en-la-exportacion-de-sombreros-de-paja-toquilla-se-recupera-y-proyecta-alza-del-20/ (consulté 2026-10-02)</t>
        </is>
      </c>
      <c r="T54" t="inlineStr">
        <is>
          <t>https://montecuadorhats.com/tienda/offers-promotions/men-2/panama-hat-toquilla-straw-traditional-lot/ ; https://montecuadorhats.com/wholesale-orders/ (15–39,99 USD, cartons de 12) consulté 2026-10-02</t>
        </is>
      </c>
      <c r="U54" t="inlineStr">
        <is>
          <t>https://monchapeaupanama.com/fr/2-accueil (dès 139 € ; Chapellerie Victor 129–369 € https://chapellerievictor.fr/43-panama) consulté 2026-10-02</t>
        </is>
      </c>
    </row>
    <row r="55">
      <c r="A55" t="inlineStr">
        <is>
          <t>D06</t>
        </is>
      </c>
      <c r="B55" t="inlineStr">
        <is>
          <t>T-shirt coton Pima 180 g</t>
        </is>
      </c>
      <c r="C55" t="inlineStr">
        <is>
          <t>Pérou</t>
        </is>
      </c>
      <c r="D55" t="inlineStr">
        <is>
          <t>Part non trouvée ; Pérou = 1 des 3 producteurs commerciaux de Pima (avec USA, Australie)</t>
        </is>
      </c>
      <c r="E55" t="inlineStr">
        <is>
          <t>Fibre ELS + ateliers Lima/Arequipa</t>
        </is>
      </c>
      <c r="F55" t="inlineStr">
        <is>
          <t>8,63 € (9,80 USD FOB, MOQ 300 ; taux BCE 30/09/2026 1 € = 1,1355 USD (https://euro-rates.info/en/home/EUR/2026-09-30, consulté 2026-10-02))</t>
        </is>
      </c>
      <c r="G55" t="inlineStr">
        <is>
          <t>39–65 €</t>
        </is>
      </c>
      <c r="H55" t="inlineStr">
        <is>
          <t>0,2 (ESTIMATION)</t>
        </is>
      </c>
      <c r="I55" t="inlineStr">
        <is>
          <t>300 (Gamarra 50–100)</t>
        </is>
      </c>
      <c r="J55" t="inlineStr">
        <is>
          <t>? : coût rendu 11,65 € ; marge 78,5 % à 65 € mais 64,2 % (KO) à 39 €</t>
        </is>
      </c>
      <c r="K55" t="inlineStr">
        <is>
          <t>OK si ≥ 40 € (bundle)</t>
        </is>
      </c>
      <c r="L55" t="inlineStr">
        <is>
          <t>OK : 17,9 % à 65 € ; 29,9 % à 39 €</t>
        </is>
      </c>
      <c r="M55" t="inlineStr">
        <is>
          <t>OK</t>
        </is>
      </c>
      <c r="N55" t="inlineStr">
        <is>
          <t>OK : Accord commercial UE–Colombie/Pérou/Équateur (souvent 0 %)</t>
        </is>
      </c>
      <c r="O55" t="inlineStr">
        <is>
          <t>OK : 300 ≤ 500</t>
        </is>
      </c>
      <c r="P55" t="inlineStr">
        <is>
          <t>KO : T-shirt premium saturé en France</t>
        </is>
      </c>
      <c r="Q55" t="inlineStr">
        <is>
          <t>ÉLIMINÉ</t>
        </is>
      </c>
      <c r="R55" t="inlineStr">
        <is>
          <t>Marché T-shirt premium saturé ; marge KO à prix d'entrée</t>
        </is>
      </c>
      <c r="S55" t="inlineStr">
        <is>
          <t>https://www.oneaimapparel.com/blog/clothing-manufacturing-in-peru/ (consulté 2026-10-02)</t>
        </is>
      </c>
      <c r="T55" t="inlineStr">
        <is>
          <t>https://www.oneaimapparel.com/blog/clothing-manufacturing-in-peru/ consulté 2026-10-02</t>
        </is>
      </c>
      <c r="U55" t="inlineStr">
        <is>
          <t>https://www.pitumarka.com/etiquette-produit/t-shirt-homme/ consulté 2026-10-02</t>
        </is>
      </c>
    </row>
    <row r="56">
      <c r="A56" t="inlineStr">
        <is>
          <t>D07</t>
        </is>
      </c>
      <c r="B56" t="inlineStr">
        <is>
          <t>Sac mochila Wayuu</t>
        </is>
      </c>
      <c r="C56" t="inlineStr">
        <is>
          <t>Colombie</t>
        </is>
      </c>
      <c r="D56" t="inlineStr">
        <is>
          <t>Part non trouvée ; artisanat Wayuu propre à La Guajira (Colombie/Venezuela) ; export mochilas 1,7 M USD au S1 2022</t>
        </is>
      </c>
      <c r="E56" t="inlineStr">
        <is>
          <t>Savoir-faire autochtone unique</t>
        </is>
      </c>
      <c r="F56" t="inlineStr">
        <is>
          <t>32,50 € (36,90 USD uni) ; 74,77 € (84,90 USD premium) ; taux BCE 30/09/2026 1 € = 1,1355 USD (https://euro-rates.info/en/home/EUR/2026-09-30, consulté 2026-10-02)</t>
        </is>
      </c>
      <c r="G56" t="inlineStr">
        <is>
          <t>59–160 €</t>
        </is>
      </c>
      <c r="H56" t="inlineStr">
        <is>
          <t>0,4 (ESTIMATION)</t>
        </is>
      </c>
      <c r="I56" t="inlineStr">
        <is>
          <t>1–12</t>
        </is>
      </c>
      <c r="J56" t="inlineStr">
        <is>
          <t>KO : uni rendu 43,87 € vs HT 49,17 € (10,8 %)</t>
        </is>
      </c>
      <c r="K56" t="inlineStr">
        <is>
          <t>OK</t>
        </is>
      </c>
      <c r="L56" t="inlineStr">
        <is>
          <t>KO : 74 % (uni à 59 €) ; 63 % (premium 100,94 € vs 160 €)</t>
        </is>
      </c>
      <c r="M56" t="inlineStr">
        <is>
          <t>OK</t>
        </is>
      </c>
      <c r="N56" t="inlineStr">
        <is>
          <t>OK : Accord commercial UE–Colombie/Pérou/Équateur (souvent 0 %)</t>
        </is>
      </c>
      <c r="O56" t="inlineStr">
        <is>
          <t>OK</t>
        </is>
      </c>
      <c r="P56" t="inlineStr">
        <is>
          <t>KO : nombreuses boutiques FR spécialisées</t>
        </is>
      </c>
      <c r="Q56" t="inlineStr">
        <is>
          <t>ÉLIMINÉ</t>
        </is>
      </c>
      <c r="R56" t="inlineStr">
        <is>
          <t>Coût rendu/marge KO (tissage 20+ jours/pièce) ; marché FR déjà occupé</t>
        </is>
      </c>
      <c r="S56" t="inlineStr">
        <is>
          <t>https://procolombia.co/sala-de-prensa/noticias/las-mochilas-wayuu-y-arhuacas-que-cautivan-europa (consulté 2026-10-02)</t>
        </is>
      </c>
      <c r="T56" t="inlineStr">
        <is>
          <t>https://www.productosdecolombia.com/en/category/colombian-craftmanship/purses-and-handbags/colombian-wayuu-mochilas-online-sale/one-color-wayuu-mochilas/ consulté 2026-10-02</t>
        </is>
      </c>
      <c r="U56" t="inlineStr">
        <is>
          <t>https://www.mochilaswayuu.fr/ (dès 59 €) ; https://wayuu-boutique.fr/produit/mochila-wayuu-soledad/ (160 €) consulté 2026-10-02</t>
        </is>
      </c>
    </row>
    <row r="57">
      <c r="A57" t="inlineStr">
        <is>
          <t>D08</t>
        </is>
      </c>
      <c r="B57" t="inlineStr">
        <is>
          <t>Hamac maya nylon tissé main (matrimonial)</t>
        </is>
      </c>
      <c r="C57" t="inlineStr">
        <is>
          <t>Mexique</t>
        </is>
      </c>
      <c r="D57" t="inlineStr">
        <is>
          <t>Part non trouvée ; Tixkokob (Yucatán) leader de la fabrication</t>
        </is>
      </c>
      <c r="E57" t="inlineStr">
        <is>
          <t>Tissage maya</t>
        </is>
      </c>
      <c r="F57" t="inlineStr">
        <is>
          <t>586 MXN (prix de détail Mexique, PROXY usine ; conversion € non sourcée)</t>
        </is>
      </c>
      <c r="G57" t="inlineStr">
        <is>
          <t>89–219 €</t>
        </is>
      </c>
      <c r="H57" t="inlineStr">
        <is>
          <t>1,2–1,8 (ESTIMATION non sourcée, taille matrimoniale)</t>
        </is>
      </c>
      <c r="I57" t="inlineStr">
        <is>
          <t>non trouvé (mayoreo sur demande)</t>
        </is>
      </c>
      <c r="J57" t="inlineStr">
        <is>
          <t>? (conversion non sourcée)</t>
        </is>
      </c>
      <c r="K57" t="inlineStr">
        <is>
          <t>OK</t>
        </is>
      </c>
      <c r="L57" t="inlineStr">
        <is>
          <t>?</t>
        </is>
      </c>
      <c r="M57" t="inlineStr">
        <is>
          <t>KO : &gt; 1 kg probable (ESTIMATION)</t>
        </is>
      </c>
      <c r="N57" t="inlineStr">
        <is>
          <t>OK : accord global UE–Mexique</t>
        </is>
      </c>
      <c r="O57" t="inlineStr">
        <is>
          <t>?</t>
        </is>
      </c>
      <c r="P57" t="inlineStr">
        <is>
          <t>? : spécialistes FR (Hamac del Sol, Tropical Hamac)</t>
        </is>
      </c>
      <c r="Q57" t="inlineStr">
        <is>
          <t>ÉLIMINÉ</t>
        </is>
      </c>
      <c r="R57" t="inlineStr">
        <is>
          <t>Poids &gt; 1 kg probable ; forte saisonnalité ; à revoir seulement en taille « individuelle »</t>
        </is>
      </c>
      <c r="S57" t="inlineStr">
        <is>
          <t>https://www.poresto.com/yucatan/2020/7/5/tixkokob-lider-en-la-elaboracion-de-hamacas-en-yucatan.html (consulté 2026-10-02)</t>
        </is>
      </c>
      <c r="T57" t="inlineStr">
        <is>
          <t>https://www.hamacasyucatecas.com/MLM-1466349196-hamaca-yucateca-nylon-color-arcoiris-_JM consulté 2026-10-02</t>
        </is>
      </c>
      <c r="U57" t="inlineStr">
        <is>
          <t>https://www.tropical-hamac.com/fr/57-hamac-grand-luxe-mexicain ; https://hamac-boutique.fr/shop/hamac-mexicain-en-276p.html consulté 2026-10-02</t>
        </is>
      </c>
    </row>
    <row r="58">
      <c r="A58" t="inlineStr">
        <is>
          <t>D09</t>
        </is>
      </c>
      <c r="B58" t="inlineStr">
        <is>
          <t>Porte-cartes / portefeuille cuir pleine fleur</t>
        </is>
      </c>
      <c r="C58" t="inlineStr">
        <is>
          <t>Mexique (León)</t>
        </is>
      </c>
      <c r="D58" t="inlineStr">
        <is>
          <t>Part mondiale non trouvée ; León = 1er centre du cuir au Mexique</t>
        </is>
      </c>
      <c r="E58" t="inlineStr">
        <is>
          <t>Filière cuir intégrée mais sans avantage mondial (Italie/Espagne/Inde)</t>
        </is>
      </c>
      <c r="F58" t="inlineStr">
        <is>
          <t>6,16 € (2,99–7,00 USD, haut de fourchette ; taux BCE 30/09/2026 1 € = 1,1355 USD (https://euro-rates.info/en/home/EUR/2026-09-30, consulté 2026-10-02))</t>
        </is>
      </c>
      <c r="G58" t="inlineStr">
        <is>
          <t>59,90 €</t>
        </is>
      </c>
      <c r="H58" t="inlineStr">
        <is>
          <t>0,1</t>
        </is>
      </c>
      <c r="I58" t="inlineStr">
        <is>
          <t>100</t>
        </is>
      </c>
      <c r="J58" t="inlineStr">
        <is>
          <t>OK : rendu 8,32 € ; HT 49,92 € ; marge 83,3 %</t>
        </is>
      </c>
      <c r="K58" t="inlineStr">
        <is>
          <t>OK</t>
        </is>
      </c>
      <c r="L58" t="inlineStr">
        <is>
          <t>OK : 13,9 %</t>
        </is>
      </c>
      <c r="M58" t="inlineStr">
        <is>
          <t>OK</t>
        </is>
      </c>
      <c r="N58" t="inlineStr">
        <is>
          <t>OK : accord global UE–Mexique</t>
        </is>
      </c>
      <c r="O58" t="inlineStr">
        <is>
          <t>OK : 100</t>
        </is>
      </c>
      <c r="P58" t="inlineStr">
        <is>
          <t>KO : très saturé (Melisac, Hexagona, Arthur Aston, nombreux DTC)</t>
        </is>
      </c>
      <c r="Q58" t="inlineStr">
        <is>
          <t>ÉLIMINÉ</t>
        </is>
      </c>
      <c r="R58" t="inlineStr">
        <is>
          <t>Marché saturé, pas d'avantage pays différenciant</t>
        </is>
      </c>
      <c r="S58" t="inlineStr">
        <is>
          <t>https://customleatherhandbags-manufacturer.com/the-leather-market-leather-goods-shops-in-leon-guanajuato/ (consulté 2026-10-02)</t>
        </is>
      </c>
      <c r="T58" t="inlineStr">
        <is>
          <t>https://www.go4worldbusiness.com/suppliers/mexico/leather-wallets.html ; MOQ 100 https://www.vianala.com/handbags-manufacture-mexico-2/ consulté 2026-10-02</t>
        </is>
      </c>
      <c r="U58" t="inlineStr">
        <is>
          <t>https://melisac.fr/collections/porte-carte consulté 2026-10-02</t>
        </is>
      </c>
    </row>
    <row r="59">
      <c r="A59" t="inlineStr">
        <is>
          <t>D10</t>
        </is>
      </c>
      <c r="B59" t="inlineStr">
        <is>
          <t>Housse de coussin tissée main (métier à sangle)</t>
        </is>
      </c>
      <c r="C59" t="inlineStr">
        <is>
          <t>Guatemala</t>
        </is>
      </c>
      <c r="D59" t="inlineStr">
        <is>
          <t>Part non trouvée ; ex. coopérative Trama : 400 tisserandes, 17 coopératives</t>
        </is>
      </c>
      <c r="E59" t="inlineStr">
        <is>
          <t>Tissage maya au métier à sangle</t>
        </is>
      </c>
      <c r="F59" t="inlineStr">
        <is>
          <t>33,82 € (PROXY 38,40 USD, prix public remisé MayanFT, prix usine introuvable ; taux BCE 30/09/2026 1 € = 1,1355 USD (https://euro-rates.info/en/home/EUR/2026-09-30, consulté 2026-10-02))</t>
        </is>
      </c>
      <c r="G59" t="inlineStr">
        <is>
          <t>35–58 €</t>
        </is>
      </c>
      <c r="H59" t="inlineStr">
        <is>
          <t>0,3 (ESTIMATION)</t>
        </is>
      </c>
      <c r="I59" t="inlineStr">
        <is>
          <t>non trouvé</t>
        </is>
      </c>
      <c r="J59" t="inlineStr">
        <is>
          <t>KO : rendu 45,66 € vs HT 48,33 €</t>
        </is>
      </c>
      <c r="K59" t="inlineStr">
        <is>
          <t>OK : 58 €</t>
        </is>
      </c>
      <c r="L59" t="inlineStr">
        <is>
          <t>KO : 78,7 %</t>
        </is>
      </c>
      <c r="M59" t="inlineStr">
        <is>
          <t>OK</t>
        </is>
      </c>
      <c r="N59" t="inlineStr">
        <is>
          <t>OK : accord d'association UE–Amérique centrale</t>
        </is>
      </c>
      <c r="O59" t="inlineStr">
        <is>
          <t>?</t>
        </is>
      </c>
      <c r="P59" t="inlineStr">
        <is>
          <t>? : niche</t>
        </is>
      </c>
      <c r="Q59" t="inlineStr">
        <is>
          <t>ÉLIMINÉ</t>
        </is>
      </c>
      <c r="R59" t="inlineStr">
        <is>
          <t>Coût artisanal trop élevé vs prix FR observé (proxy à confirmer)</t>
        </is>
      </c>
      <c r="S59" t="inlineStr">
        <is>
          <t>https://en.wikipedia.org/wiki/Trama_Textiles (consulté 2026-10-02)</t>
        </is>
      </c>
      <c r="T59" t="inlineStr">
        <is>
          <t>https://mayanft.com/shop/en/home/92-guatemalan-upcycled-huipil-pillow-cover.html consulté 2026-10-02</t>
        </is>
      </c>
      <c r="U59" t="inlineStr">
        <is>
          <t>https://oua-concept.com/coussins-artisanaux-et-ethniques/391-housse-de-coussin-herminia-50x50-cm-guatemala-afroart.html (58 €) ; https://mayarte.com/housse-de-coussin/20-housse-de-coussin.html consulté 2026-10-02</t>
        </is>
      </c>
    </row>
    <row r="60">
      <c r="A60" t="inlineStr">
        <is>
          <t>D11</t>
        </is>
      </c>
      <c r="B60" t="inlineStr">
        <is>
          <t>Housse de couette lin lavé</t>
        </is>
      </c>
      <c r="C60" t="inlineStr">
        <is>
          <t>Lituanie</t>
        </is>
      </c>
      <c r="D60" t="inlineStr">
        <is>
          <t>4e exportateur mondial de fil de lin (17,7 M USD) ; 2,7 % des exports mondiaux de lin (2011) ; lin brut importé (France/Belgique)</t>
        </is>
      </c>
      <c r="E60" t="inlineStr">
        <is>
          <t>Filature/tissage lin (Siulas, Linas), mais matière d'origine française</t>
        </is>
      </c>
      <c r="F60" t="inlineStr">
        <is>
          <t>non trouvé (Unique Linen : MOQ 15/modèle, commande min. 2 000 €)</t>
        </is>
      </c>
      <c r="G60" t="inlineStr">
        <is>
          <t>147–210 €</t>
        </is>
      </c>
      <c r="H60" t="inlineStr">
        <is>
          <t>1,8 (ESTIMATION : 240×220 cm ×2 faces = 10,56 m² × 170 g/m²)</t>
        </is>
      </c>
      <c r="I60" t="inlineStr">
        <is>
          <t>15 / modèle</t>
        </is>
      </c>
      <c r="J60" t="inlineStr">
        <is>
          <t>?</t>
        </is>
      </c>
      <c r="K60" t="inlineStr">
        <is>
          <t>OK</t>
        </is>
      </c>
      <c r="L60" t="inlineStr">
        <is>
          <t>?</t>
        </is>
      </c>
      <c r="M60" t="inlineStr">
        <is>
          <t>KO : ≈1,8 kg</t>
        </is>
      </c>
      <c r="N60" t="inlineStr">
        <is>
          <t>OK : marché unique UE (pas de droits)</t>
        </is>
      </c>
      <c r="O60" t="inlineStr">
        <is>
          <t>OK : 15</t>
        </is>
      </c>
      <c r="P60" t="inlineStr">
        <is>
          <t>KO : très saturé (Bonsoirs, Blanc Cerise, La Redoute, Carré Blanc)</t>
        </is>
      </c>
      <c r="Q60" t="inlineStr">
        <is>
          <t>ÉLIMINÉ</t>
        </is>
      </c>
      <c r="R60" t="inlineStr">
        <is>
          <t>Poids &gt; 1 kg et marché saturé ; avantage pays faible (lin français)</t>
        </is>
      </c>
      <c r="S60" t="inlineStr">
        <is>
          <t>https://www.worldatlas.com/articles/the-world-s-largest-exporters-of-flax-yarn.html ; https://llufb.llu.lv/conference/economic_science_rural/2014/ESRD_34_2014_Productions-92-100.pdf (consulté 2026-10-02)</t>
        </is>
      </c>
      <c r="T60" t="inlineStr">
        <is>
          <t>https://www.uniquelinen.com/pages/wholesale consulté 2026-10-02</t>
        </is>
      </c>
      <c r="U60" t="inlineStr">
        <is>
          <t>https://www.blanc-cerise.com/collections/housse-couette-lin ; https://www.bonsoirs.com/fr-fr/collections/linge-de-lit-lin consulté 2026-10-02</t>
        </is>
      </c>
    </row>
    <row r="61">
      <c r="A61" t="inlineStr">
        <is>
          <t>D12</t>
        </is>
      </c>
      <c r="B61" t="inlineStr">
        <is>
          <t>Étole / écharpe mérinos tricotée</t>
        </is>
      </c>
      <c r="C61" t="inlineStr">
        <is>
          <t>Uruguay</t>
        </is>
      </c>
      <c r="D61" t="inlineStr">
        <is>
          <t>3e exportateur mondial de tops de laine lavée/peignée (12 %) ; 4e en volume selon Uruguay XXI</t>
        </is>
      </c>
      <c r="E61" t="inlineStr">
        <is>
          <t>Avantage sur la fibre/tops, peu sur le produit fini (tricoté en Italie/Chine)</t>
        </is>
      </c>
      <c r="F61" t="inlineStr">
        <is>
          <t>non trouvé (Manos del Uruguay : étole au détail 125 USD)</t>
        </is>
      </c>
      <c r="G61" t="inlineStr">
        <is>
          <t>non relevé</t>
        </is>
      </c>
      <c r="H61" t="inlineStr">
        <is>
          <t>0,15 (ESTIMATION)</t>
        </is>
      </c>
      <c r="I61" t="inlineStr">
        <is>
          <t>non trouvé</t>
        </is>
      </c>
      <c r="J61" t="inlineStr">
        <is>
          <t>?</t>
        </is>
      </c>
      <c r="K61" t="inlineStr">
        <is>
          <t>?</t>
        </is>
      </c>
      <c r="L61" t="inlineStr">
        <is>
          <t>?</t>
        </is>
      </c>
      <c r="M61" t="inlineStr">
        <is>
          <t>OK</t>
        </is>
      </c>
      <c r="N61" t="inlineStr">
        <is>
          <t>? : pas d'accord UE–Mercosur confirmé ici (à vérifier)</t>
        </is>
      </c>
      <c r="O61" t="inlineStr">
        <is>
          <t>?</t>
        </is>
      </c>
      <c r="P61" t="inlineStr">
        <is>
          <t>KO : écharpes laine/mérinos omniprésentes, différenciation pays faible</t>
        </is>
      </c>
      <c r="Q61" t="inlineStr">
        <is>
          <t>ÉLIMINÉ</t>
        </is>
      </c>
      <c r="R61" t="inlineStr">
        <is>
          <t>Avantage uruguayen = matière première, pas produit fini ; données prix insuffisantes</t>
        </is>
      </c>
      <c r="S61" t="inlineStr">
        <is>
          <t>https://gatewaytosouthamerica-newsblog.com/processed-uruguayan-wool-coveted-european-manufacturers/ ; https://www.uruguayxxi.gub.uy/en/news/article/uruguayan-wool-for-export/ (consulté 2026-10-02)</t>
        </is>
      </c>
      <c r="T61" t="inlineStr">
        <is>
          <t>https://manos.uy/apparel/shawls-and-scarves consulté 2026-10-02</t>
        </is>
      </c>
      <c r="U61" t="inlineStr">
        <is>
          <t>non relevé</t>
        </is>
      </c>
    </row>
    <row r="62">
      <c r="A62" t="inlineStr">
        <is>
          <t>D13</t>
        </is>
      </c>
      <c r="B62" t="inlineStr">
        <is>
          <t>Coffret bâtons de palo santo (≈100 g)</t>
        </is>
      </c>
      <c r="C62" t="inlineStr">
        <is>
          <t>Pérou / Équateur</t>
        </is>
      </c>
      <c r="D62" t="inlineStr">
        <is>
          <t>Part non trouvée ; Pérou et Équateur dominent la production commerciale</t>
        </is>
      </c>
      <c r="E62" t="inlineStr">
        <is>
          <t>Bois de forêt sèche, collecte bois tombé (permis SERFOR)</t>
        </is>
      </c>
      <c r="F62" t="inlineStr">
        <is>
          <t>1,94 € / 100 g (22 USD/kg par 20 kg ; taux BCE 30/09/2026 1 € = 1,1355 USD (https://euro-rates.info/en/home/EUR/2026-09-30, consulté 2026-10-02))</t>
        </is>
      </c>
      <c r="G62" t="inlineStr">
        <is>
          <t>18,90 €</t>
        </is>
      </c>
      <c r="H62" t="inlineStr">
        <is>
          <t>0,1</t>
        </is>
      </c>
      <c r="I62" t="inlineStr">
        <is>
          <t>5–20 kg</t>
        </is>
      </c>
      <c r="J62" t="inlineStr">
        <is>
          <t>OK : rendu 2,61 €</t>
        </is>
      </c>
      <c r="K62" t="inlineStr">
        <is>
          <t>KO : &lt; 40 €</t>
        </is>
      </c>
      <c r="L62" t="inlineStr">
        <is>
          <t>OK : 13,8 %</t>
        </is>
      </c>
      <c r="M62" t="inlineStr">
        <is>
          <t>OK</t>
        </is>
      </c>
      <c r="N62" t="inlineStr">
        <is>
          <t>? : encens/parfum d'ambiance, proche du bakhoor déjà écarté</t>
        </is>
      </c>
      <c r="O62" t="inlineStr">
        <is>
          <t>OK</t>
        </is>
      </c>
      <c r="P62" t="inlineStr">
        <is>
          <t>KO : Nature &amp; Découvertes, Cdiscount, prix bas</t>
        </is>
      </c>
      <c r="Q62" t="inlineStr">
        <is>
          <t>ÉLIMINÉ</t>
        </is>
      </c>
      <c r="R62" t="inlineStr">
        <is>
          <t>Panier &lt; 40 €, risque durabilité/greenwashing, catégorie assimilable à l'encens écarté</t>
        </is>
      </c>
      <c r="S62" t="inlineStr">
        <is>
          <t>https://en.wikipedia.org/wiki/Bursera_graveolens (consulté 2026-10-02)</t>
        </is>
      </c>
      <c r="T62" t="inlineStr">
        <is>
          <t>https://palosantopremium.com/palo-santo-wholesale/ consulté 2026-10-02</t>
        </is>
      </c>
      <c r="U62" t="inlineStr">
        <is>
          <t>https://www.naturellement-bio.com/collections/palo-santo (coffret 18,90 €) ; Nature &amp; Découvertes coffret 39 € https://www.natureetdecouvertes.com/v/palo-santo consulté 2026-10-02</t>
        </is>
      </c>
    </row>
    <row r="63">
      <c r="A63" t="inlineStr">
        <is>
          <t>D14</t>
        </is>
      </c>
      <c r="B63" t="inlineStr">
        <is>
          <t>Sandales cuir artisanales</t>
        </is>
      </c>
      <c r="C63" t="inlineStr">
        <is>
          <t>Grèce</t>
        </is>
      </c>
      <c r="D63" t="inlineStr">
        <is>
          <t>Part non trouvée</t>
        </is>
      </c>
      <c r="E63" t="inlineStr">
        <is>
          <t>Tradition d'ateliers athéniens/insulaires</t>
        </is>
      </c>
      <c r="F63" t="inlineStr">
        <is>
          <t>non trouvé (prix de gros Faire réservé aux pros)</t>
        </is>
      </c>
      <c r="G63" t="inlineStr">
        <is>
          <t>39,90–99 €</t>
        </is>
      </c>
      <c r="H63" t="inlineStr">
        <is>
          <t>0,4 (ESTIMATION)</t>
        </is>
      </c>
      <c r="I63" t="inlineStr">
        <is>
          <t>non trouvé</t>
        </is>
      </c>
      <c r="J63" t="inlineStr">
        <is>
          <t>?</t>
        </is>
      </c>
      <c r="K63" t="inlineStr">
        <is>
          <t>OK</t>
        </is>
      </c>
      <c r="L63" t="inlineStr">
        <is>
          <t>?</t>
        </is>
      </c>
      <c r="M63" t="inlineStr">
        <is>
          <t>OK</t>
        </is>
      </c>
      <c r="N63" t="inlineStr">
        <is>
          <t>OK : marché unique UE</t>
        </is>
      </c>
      <c r="O63" t="inlineStr">
        <is>
          <t>? : 8–10 pointures par modèle</t>
        </is>
      </c>
      <c r="P63" t="inlineStr">
        <is>
          <t>KO : Ancient Greek Sandals + DTC FR déjà présents (Girlhood, Yamas, Photyne)</t>
        </is>
      </c>
      <c r="Q63" t="inlineStr">
        <is>
          <t>ÉLIMINÉ</t>
        </is>
      </c>
      <c r="R63" t="inlineStr">
        <is>
          <t>Marché occupé par des marques franco-grecques ; gestion des tailles</t>
        </is>
      </c>
      <c r="S63" t="inlineStr">
        <is>
          <t>non trouvé</t>
        </is>
      </c>
      <c r="T63" t="inlineStr">
        <is>
          <t>https://www.faire.com/discover/greek-sandals consulté 2026-10-02</t>
        </is>
      </c>
      <c r="U63" t="inlineStr">
        <is>
          <t>https://photyne.com/sandales-grecques-artisanales/ ; https://www.yamasboutique.com/collections/sandales consulté 2026-10-02</t>
        </is>
      </c>
    </row>
    <row r="64">
      <c r="A64" t="inlineStr">
        <is>
          <t>D15</t>
        </is>
      </c>
      <c r="B64" t="inlineStr">
        <is>
          <t>Boucles d'oreilles / collier en capim dourado (or végétal)</t>
        </is>
      </c>
      <c r="C64" t="inlineStr">
        <is>
          <t>Brésil</t>
        </is>
      </c>
      <c r="D64" t="inlineStr">
        <is>
          <t>≈100 % : la plante pousse exclusivement dans la région du Jalapão</t>
        </is>
      </c>
      <c r="E64" t="inlineStr">
        <is>
          <t>Matière endémique, récolte réglementée (sept.–nov.)</t>
        </is>
      </c>
      <c r="F64" t="inlineStr">
        <is>
          <t>R$ 49–179 (boucles, prix de gros ARTECAPIM, commande min. R$ 300 ; conversion € non sourcée)</t>
        </is>
      </c>
      <c r="G64" t="inlineStr">
        <is>
          <t>39 € (boucles) ; 60–125 € (colliers)</t>
        </is>
      </c>
      <c r="H64" t="inlineStr">
        <is>
          <t>0,05</t>
        </is>
      </c>
      <c r="I64" t="inlineStr">
        <is>
          <t>R$ 300 / commande</t>
        </is>
      </c>
      <c r="J64" t="inlineStr">
        <is>
          <t>? (conversion non sourcée)</t>
        </is>
      </c>
      <c r="K64" t="inlineStr">
        <is>
          <t>KO pour boucles (39 €) ; OK pour colliers</t>
        </is>
      </c>
      <c r="L64" t="inlineStr">
        <is>
          <t>KO probable pour boucles ; ? colliers</t>
        </is>
      </c>
      <c r="M64" t="inlineStr">
        <is>
          <t>OK</t>
        </is>
      </c>
      <c r="N64" t="inlineStr">
        <is>
          <t>? : pas d'accord UE–Mercosur confirmé ici</t>
        </is>
      </c>
      <c r="O64" t="inlineStr">
        <is>
          <t>OK</t>
        </is>
      </c>
      <c r="P64" t="inlineStr">
        <is>
          <t>? : niche, plusieurs petites boutiques FR (Or Végétal, Dorinor, Art d'Amazonie)</t>
        </is>
      </c>
      <c r="Q64" t="inlineStr">
        <is>
          <t>ÉLIMINÉ</t>
        </is>
      </c>
      <c r="R64" t="inlineStr">
        <is>
          <t>Boucles : panier &lt; 40 € ; à réexaminer en colliers/sacs avec devis € ; volume artisanal limité</t>
        </is>
      </c>
      <c r="S64" t="inlineStr">
        <is>
          <t>https://treasuresofbrazil.co.uk/products/golden-grass-clutch-bag (consulté 2026-10-02)</t>
        </is>
      </c>
      <c r="T64" t="inlineStr">
        <is>
          <t>https://artesascapimdourado.blogspot.com/ ; https://brasilcapimdourado.com.br/brincos-capim-dourado/brincos-de-capim-dourado/ consulté 2026-10-02</t>
        </is>
      </c>
      <c r="U64" t="inlineStr">
        <is>
          <t>https://dorinor.com/collections/bijoux-or-vegetal-capim-dourado ; https://orvegetal.fr/ consulté 2026-10-02</t>
        </is>
      </c>
    </row>
    <row r="65">
      <c r="A65" t="inlineStr">
        <is>
          <t>D16</t>
        </is>
      </c>
      <c r="B65" t="inlineStr">
        <is>
          <t>Blouse roumaine brodée main (ie)</t>
        </is>
      </c>
      <c r="C65" t="inlineStr">
        <is>
          <t>Roumanie</t>
        </is>
      </c>
      <c r="D65" t="inlineStr">
        <is>
          <t>Part non trouvée (patrimoine culturel roumain)</t>
        </is>
      </c>
      <c r="E65" t="inlineStr">
        <is>
          <t>Broderie traditionnelle, ~1 mois de travail par blouse</t>
        </is>
      </c>
      <c r="F65" t="inlineStr">
        <is>
          <t>non trouvé</t>
        </is>
      </c>
      <c r="G65" t="inlineStr">
        <is>
          <t>232–400 €</t>
        </is>
      </c>
      <c r="H65" t="inlineStr">
        <is>
          <t>0,3 (ESTIMATION)</t>
        </is>
      </c>
      <c r="I65" t="inlineStr">
        <is>
          <t>pièce unique</t>
        </is>
      </c>
      <c r="J65" t="inlineStr">
        <is>
          <t>?</t>
        </is>
      </c>
      <c r="K65" t="inlineStr">
        <is>
          <t>OK</t>
        </is>
      </c>
      <c r="L65" t="inlineStr">
        <is>
          <t>?</t>
        </is>
      </c>
      <c r="M65" t="inlineStr">
        <is>
          <t>OK</t>
        </is>
      </c>
      <c r="N65" t="inlineStr">
        <is>
          <t>OK : marché unique UE</t>
        </is>
      </c>
      <c r="O65" t="inlineStr">
        <is>
          <t>KO : production pièce par pièce (≈1 mois), pas de MOQ industriel</t>
        </is>
      </c>
      <c r="P65" t="inlineStr">
        <is>
          <t>? : sensibilité culturelle (campagnes « La Blouse Roumaine »)</t>
        </is>
      </c>
      <c r="Q65" t="inlineStr">
        <is>
          <t>ÉLIMINÉ</t>
        </is>
      </c>
      <c r="R65" t="inlineStr">
        <is>
          <t>Capacité de production incompatible avec une marque ; risque d'appropriation</t>
        </is>
      </c>
      <c r="S65" t="inlineStr">
        <is>
          <t>non trouvé</t>
        </is>
      </c>
      <c r="T65" t="inlineStr">
        <is>
          <t>https://fr.fashionnetwork.com/news/Entre-vuitton-et-des-artisans-roumains-la-blouse-de-la-discorde,1649323.html consulté 2026-10-02</t>
        </is>
      </c>
      <c r="U65" t="inlineStr">
        <is>
          <t>https://www.ieromaneasca.com/fr/chemises-roumaines/blouses-roumaines-faits-a-la-main-ia ; FashionNetwork (300–400 €) consulté 2026-10-02</t>
        </is>
      </c>
    </row>
  </sheetData>
  <autoFilter ref="A1:U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2" customWidth="1" min="4" max="4"/>
    <col width="10" customWidth="1" min="5" max="5"/>
    <col width="11" customWidth="1" min="6" max="6"/>
    <col width="9" customWidth="1" min="7" max="7"/>
    <col width="9" customWidth="1" min="8" max="8"/>
    <col width="10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10" customWidth="1" min="18" max="18"/>
    <col width="6" customWidth="1" min="19" max="19"/>
    <col width="90" customWidth="1" min="20" max="20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pays</t>
        </is>
      </c>
      <c r="D1" s="1" t="inlineStr">
        <is>
          <t>prix_usine_EUR</t>
        </is>
      </c>
      <c r="E1" s="1" t="inlineStr">
        <is>
          <t>coef_cout_rendu</t>
        </is>
      </c>
      <c r="F1" s="1" t="inlineStr">
        <is>
          <t>cout_rendu_EUR</t>
        </is>
      </c>
      <c r="G1" s="1" t="inlineStr">
        <is>
          <t>prix_TTC</t>
        </is>
      </c>
      <c r="H1" s="1" t="inlineStr">
        <is>
          <t>prix_HT</t>
        </is>
      </c>
      <c r="I1" s="1" t="inlineStr">
        <is>
          <t>marge_brute_%</t>
        </is>
      </c>
      <c r="J1" s="1" t="inlineStr">
        <is>
          <t>cout_rendu_%_TTC</t>
        </is>
      </c>
      <c r="K1" s="1" t="inlineStr">
        <is>
          <t>C1 ≥65 %</t>
        </is>
      </c>
      <c r="L1" s="1" t="inlineStr">
        <is>
          <t>C3 ≤25 %</t>
        </is>
      </c>
      <c r="M1" s="1" t="inlineStr">
        <is>
          <t>Demande /25</t>
        </is>
      </c>
      <c r="N1" s="1" t="inlineStr">
        <is>
          <t>Marge /25</t>
        </is>
      </c>
      <c r="O1" s="1" t="inlineStr">
        <is>
          <t>Concurrence /20</t>
        </is>
      </c>
      <c r="P1" s="1" t="inlineStr">
        <is>
          <t>Import /15</t>
        </is>
      </c>
      <c r="Q1" s="1" t="inlineStr">
        <is>
          <t>Rachat /15</t>
        </is>
      </c>
      <c r="R1" s="1" t="inlineStr">
        <is>
          <t>TOTAL /100</t>
        </is>
      </c>
      <c r="S1" s="1" t="inlineStr">
        <is>
          <t>Rang</t>
        </is>
      </c>
      <c r="T1" s="1" t="inlineStr">
        <is>
          <t>Justification (sources : data/*.md)</t>
        </is>
      </c>
    </row>
    <row r="2">
      <c r="A2" t="inlineStr">
        <is>
          <t>A01</t>
        </is>
      </c>
      <c r="B2" t="inlineStr">
        <is>
          <t>Taie d'oreiller soie de mûrier 25 momme</t>
        </is>
      </c>
      <c r="C2" t="inlineStr">
        <is>
          <t>Chine</t>
        </is>
      </c>
      <c r="D2" s="2" t="n">
        <v>13.2</v>
      </c>
      <c r="E2" s="2" t="n">
        <v>1.45</v>
      </c>
      <c r="F2" s="3">
        <f>D2*E2</f>
        <v/>
      </c>
      <c r="G2" s="2" t="n">
        <v>79</v>
      </c>
      <c r="H2" s="3">
        <f>G2/1.2</f>
        <v/>
      </c>
      <c r="I2" s="4">
        <f>(H2-F2)/H2</f>
        <v/>
      </c>
      <c r="J2" s="4">
        <f>F2/G2</f>
        <v/>
      </c>
      <c r="K2">
        <f>IF(I2&gt;=0.65,"OK","KO")</f>
        <v/>
      </c>
      <c r="L2">
        <f>IF(J2&lt;=0.25,"OK","KO")</f>
        <v/>
      </c>
      <c r="M2" s="2" t="n">
        <v>20</v>
      </c>
      <c r="N2" s="2" t="n">
        <v>17</v>
      </c>
      <c r="O2" s="2" t="n">
        <v>9</v>
      </c>
      <c r="P2" s="2" t="n">
        <v>12</v>
      </c>
      <c r="Q2" s="2" t="n">
        <v>13</v>
      </c>
      <c r="R2">
        <f>SUM(M2:Q2)</f>
        <v/>
      </c>
      <c r="S2">
        <f>RANK(R2,$R$2:$R$11)</f>
        <v/>
      </c>
      <c r="T2" s="5" t="inlineStr">
        <is>
          <t>Demande : seul mot-clé de la shortlist avec volume réel et pic de Noël en hausse (56→87, +55 % en 4 ans, Google Trends). Concurrence : ~410 pubs Meta actives, Amazon inondé à 15-27 € (Ravmix 19 759 avis) → CAC élevé. Import : NC 6302 39 90, 12 % (TARIC). Prix usine 15 $ FOB (Xinlan/Zhigeng, data/fournisseurs_taie.csv) ; KO au critère 3 sous 76 € TTC. Rachat : cadeau Noël + extensions (masque, chouchous).</t>
        </is>
      </c>
    </row>
    <row r="3">
      <c r="A3" t="inlineStr">
        <is>
          <t>D05</t>
        </is>
      </c>
      <c r="B3" t="inlineStr">
        <is>
          <t>Chapeau Panama toquilla tissé main</t>
        </is>
      </c>
      <c r="C3" t="inlineStr">
        <is>
          <t>Équateur</t>
        </is>
      </c>
      <c r="D3" s="2" t="n">
        <v>22</v>
      </c>
      <c r="E3" s="2" t="n">
        <v>1.25</v>
      </c>
      <c r="F3" s="3">
        <f>D3*E3</f>
        <v/>
      </c>
      <c r="G3" s="2" t="n">
        <v>139</v>
      </c>
      <c r="H3" s="3">
        <f>G3/1.2</f>
        <v/>
      </c>
      <c r="I3" s="4">
        <f>(H3-F3)/H3</f>
        <v/>
      </c>
      <c r="J3" s="4">
        <f>F3/G3</f>
        <v/>
      </c>
      <c r="K3">
        <f>IF(I3&gt;=0.65,"OK","KO")</f>
        <v/>
      </c>
      <c r="L3">
        <f>IF(J3&lt;=0.25,"OK","KO")</f>
        <v/>
      </c>
      <c r="M3" s="2" t="n">
        <v>14</v>
      </c>
      <c r="N3" s="2" t="n">
        <v>19</v>
      </c>
      <c r="O3" s="2" t="n">
        <v>16</v>
      </c>
      <c r="P3" s="2" t="n">
        <v>12</v>
      </c>
      <c r="Q3" s="2" t="n">
        <v>6</v>
      </c>
      <c r="R3">
        <f>SUM(M3:Q3)</f>
        <v/>
      </c>
      <c r="S3">
        <f>RANK(R3,$R$2:$R$11)</f>
        <v/>
      </c>
      <c r="T3" s="5" t="inlineStr">
        <is>
          <t>Demande : moyenne 12 (échelle lot 1), pics juin-juillet 33-43, stable/légère baisse. Concurrence : 2 pubs Meta actives (1 annonceur). Import : NC 6504 00 00, 0 % (droit tiers 0 % + préférence Équateur, TARIC). Saison courte, rachat faible.</t>
        </is>
      </c>
    </row>
    <row r="4">
      <c r="A4" t="inlineStr">
        <is>
          <t>B01</t>
        </is>
      </c>
      <c r="B4" t="inlineStr">
        <is>
          <t>Kimono coton imprimé au bloc (Jaipur)</t>
        </is>
      </c>
      <c r="C4" t="inlineStr">
        <is>
          <t>Inde</t>
        </is>
      </c>
      <c r="D4" s="2" t="n">
        <v>7.5</v>
      </c>
      <c r="E4" s="2" t="n">
        <v>1.35</v>
      </c>
      <c r="F4" s="3">
        <f>D4*E4</f>
        <v/>
      </c>
      <c r="G4" s="2" t="n">
        <v>79</v>
      </c>
      <c r="H4" s="3">
        <f>G4/1.2</f>
        <v/>
      </c>
      <c r="I4" s="4">
        <f>(H4-F4)/H4</f>
        <v/>
      </c>
      <c r="J4" s="4">
        <f>F4/G4</f>
        <v/>
      </c>
      <c r="K4">
        <f>IF(I4&gt;=0.65,"OK","KO")</f>
        <v/>
      </c>
      <c r="L4">
        <f>IF(J4&lt;=0.25,"OK","KO")</f>
        <v/>
      </c>
      <c r="M4" s="2" t="n">
        <v>12</v>
      </c>
      <c r="N4" s="2" t="n">
        <v>20</v>
      </c>
      <c r="O4" s="2" t="n">
        <v>13</v>
      </c>
      <c r="P4" s="2" t="n">
        <v>12</v>
      </c>
      <c r="Q4" s="2" t="n">
        <v>9</v>
      </c>
      <c r="R4">
        <f>SUM(M4:Q4)</f>
        <v/>
      </c>
      <c r="S4">
        <f>RANK(R4,$R$2:$R$11)</f>
        <v/>
      </c>
      <c r="T4" s="5" t="inlineStr">
        <is>
          <t>Demande : « kimono femme » moyenne 40 mais requête générique en baisse (~-40 % sur 5 ans). Concurrence : ~31 pubs Meta. Import : NC 6208 91 00 19, 12 % tiers / 9,6 % SPG Inde (TARIC). Marge très élevée (coût rendu ~13 % du TTC).</t>
        </is>
      </c>
    </row>
    <row r="5">
      <c r="A5" t="inlineStr">
        <is>
          <t>B02</t>
        </is>
      </c>
      <c r="B5" t="inlineStr">
        <is>
          <t>Gants cuir d'agneau doublés</t>
        </is>
      </c>
      <c r="C5" t="inlineStr">
        <is>
          <t>Pakistan</t>
        </is>
      </c>
      <c r="D5" s="2" t="n">
        <v>7.31</v>
      </c>
      <c r="E5" s="2" t="n">
        <v>1.25</v>
      </c>
      <c r="F5" s="3">
        <f>D5*E5</f>
        <v/>
      </c>
      <c r="G5" s="2" t="n">
        <v>79</v>
      </c>
      <c r="H5" s="3">
        <f>G5/1.2</f>
        <v/>
      </c>
      <c r="I5" s="4">
        <f>(H5-F5)/H5</f>
        <v/>
      </c>
      <c r="J5" s="4">
        <f>F5/G5</f>
        <v/>
      </c>
      <c r="K5">
        <f>IF(I5&gt;=0.65,"OK","KO")</f>
        <v/>
      </c>
      <c r="L5">
        <f>IF(J5&lt;=0.25,"OK","KO")</f>
        <v/>
      </c>
      <c r="M5" s="2" t="n">
        <v>6</v>
      </c>
      <c r="N5" s="2" t="n">
        <v>20</v>
      </c>
      <c r="O5" s="2" t="n">
        <v>11</v>
      </c>
      <c r="P5" s="2" t="n">
        <v>12</v>
      </c>
      <c r="Q5" s="2" t="n">
        <v>9</v>
      </c>
      <c r="R5">
        <f>SUM(M5:Q5)</f>
        <v/>
      </c>
      <c r="S5">
        <f>RANK(R5,$R$2:$R$11)</f>
        <v/>
      </c>
      <c r="T5" s="5" t="inlineStr">
        <is>
          <t>Demande : libellé exact très faible (moy. 1) ; saison nov.-déc. Concurrence : ~140 pubs (surtout moto/chasse). SPG+ Pakistan.</t>
        </is>
      </c>
    </row>
    <row r="6">
      <c r="A6" t="inlineStr">
        <is>
          <t>C02</t>
        </is>
      </c>
      <c r="B6" t="inlineStr">
        <is>
          <t>Écharpe mohair tissée</t>
        </is>
      </c>
      <c r="C6" t="inlineStr">
        <is>
          <t>Afrique du Sud</t>
        </is>
      </c>
      <c r="D6" s="2" t="n">
        <v>11.2</v>
      </c>
      <c r="E6" s="2" t="n">
        <v>1.25</v>
      </c>
      <c r="F6" s="3">
        <f>D6*E6</f>
        <v/>
      </c>
      <c r="G6" s="2" t="n">
        <v>89</v>
      </c>
      <c r="H6" s="3">
        <f>G6/1.2</f>
        <v/>
      </c>
      <c r="I6" s="4">
        <f>(H6-F6)/H6</f>
        <v/>
      </c>
      <c r="J6" s="4">
        <f>F6/G6</f>
        <v/>
      </c>
      <c r="K6">
        <f>IF(I6&gt;=0.65,"OK","KO")</f>
        <v/>
      </c>
      <c r="L6">
        <f>IF(J6&lt;=0.25,"OK","KO")</f>
        <v/>
      </c>
      <c r="M6" s="2" t="n">
        <v>4</v>
      </c>
      <c r="N6" s="2" t="n">
        <v>18</v>
      </c>
      <c r="O6" s="2" t="n">
        <v>14</v>
      </c>
      <c r="P6" s="2" t="n">
        <v>13</v>
      </c>
      <c r="Q6" s="2" t="n">
        <v>9</v>
      </c>
      <c r="R6">
        <f>SUM(M6:Q6)</f>
        <v/>
      </c>
      <c r="S6">
        <f>RANK(R6,$R$2:$R$11)</f>
        <v/>
      </c>
      <c r="T6" s="5" t="inlineStr">
        <is>
          <t>Demande quasi nulle sur « écharpe mohair » ; pubs « mohair » = laine à tricoter. 0 % (accord UE-SADC). Prix usine = ESTIMATION.</t>
        </is>
      </c>
    </row>
    <row r="7">
      <c r="A7" t="inlineStr">
        <is>
          <t>C11</t>
        </is>
      </c>
      <c r="B7" t="inlineStr">
        <is>
          <t>Peignoir nid d'abeille coton égyptien</t>
        </is>
      </c>
      <c r="C7" t="inlineStr">
        <is>
          <t>Égypte</t>
        </is>
      </c>
      <c r="D7" s="2" t="n">
        <v>7</v>
      </c>
      <c r="E7" s="2" t="n">
        <v>1.3</v>
      </c>
      <c r="F7" s="3">
        <f>D7*E7</f>
        <v/>
      </c>
      <c r="G7" s="2" t="n">
        <v>69</v>
      </c>
      <c r="H7" s="3">
        <f>G7/1.2</f>
        <v/>
      </c>
      <c r="I7" s="4">
        <f>(H7-F7)/H7</f>
        <v/>
      </c>
      <c r="J7" s="4">
        <f>F7/G7</f>
        <v/>
      </c>
      <c r="K7">
        <f>IF(I7&gt;=0.65,"OK","KO")</f>
        <v/>
      </c>
      <c r="L7">
        <f>IF(J7&lt;=0.25,"OK","KO")</f>
        <v/>
      </c>
      <c r="M7" s="2" t="n">
        <v>8</v>
      </c>
      <c r="N7" s="2" t="n">
        <v>17</v>
      </c>
      <c r="O7" s="2" t="n">
        <v>9</v>
      </c>
      <c r="P7" s="2" t="n">
        <v>13</v>
      </c>
      <c r="Q7" s="2" t="n">
        <v>10</v>
      </c>
      <c r="R7">
        <f>SUM(M7:Q7)</f>
        <v/>
      </c>
      <c r="S7">
        <f>RANK(R7,$R$2:$R$11)</f>
        <v/>
      </c>
      <c r="T7" s="5" t="inlineStr">
        <is>
          <t>Demande faible (moy. 2) ; ~330 pubs Meta dont grandes enseignes (La Compagnie du Blanc). 0 % (accord UE-Égypte). Fondateur arabophone.</t>
        </is>
      </c>
    </row>
    <row r="8">
      <c r="A8" t="inlineStr">
        <is>
          <t>A04</t>
        </is>
      </c>
      <c r="B8" t="inlineStr">
        <is>
          <t>Écharpe duvet de yak</t>
        </is>
      </c>
      <c r="C8" t="inlineStr">
        <is>
          <t>Chine</t>
        </is>
      </c>
      <c r="D8" s="2" t="n">
        <v>21.75</v>
      </c>
      <c r="E8" s="2" t="n">
        <v>1.35</v>
      </c>
      <c r="F8" s="3">
        <f>D8*E8</f>
        <v/>
      </c>
      <c r="G8" s="2" t="n">
        <v>135</v>
      </c>
      <c r="H8" s="3">
        <f>G8/1.2</f>
        <v/>
      </c>
      <c r="I8" s="4">
        <f>(H8-F8)/H8</f>
        <v/>
      </c>
      <c r="J8" s="4">
        <f>F8/G8</f>
        <v/>
      </c>
      <c r="K8">
        <f>IF(I8&gt;=0.65,"OK","KO")</f>
        <v/>
      </c>
      <c r="L8">
        <f>IF(J8&lt;=0.25,"OK","KO")</f>
        <v/>
      </c>
      <c r="M8" s="2" t="n">
        <v>2</v>
      </c>
      <c r="N8" s="2" t="n">
        <v>18</v>
      </c>
      <c r="O8" s="2" t="n">
        <v>15</v>
      </c>
      <c r="P8" s="2" t="n">
        <v>12</v>
      </c>
      <c r="Q8" s="2" t="n">
        <v>9</v>
      </c>
      <c r="R8">
        <f>SUM(M8:Q8)</f>
        <v/>
      </c>
      <c r="S8">
        <f>RANK(R8,$R$2:$R$11)</f>
        <v/>
      </c>
      <c r="T8" s="5" t="inlineStr">
        <is>
          <t>Demande non mesurable ; aucun annonceur yak en France (niche vide = pas de demande prouvée). 12 %.</t>
        </is>
      </c>
    </row>
    <row r="9">
      <c r="A9" t="inlineStr">
        <is>
          <t>D01</t>
        </is>
      </c>
      <c r="B9" t="inlineStr">
        <is>
          <t>Écharpe baby alpaga</t>
        </is>
      </c>
      <c r="C9" t="inlineStr">
        <is>
          <t>Pérou</t>
        </is>
      </c>
      <c r="D9" s="2" t="n">
        <v>15.41</v>
      </c>
      <c r="E9" s="2" t="n">
        <v>1.25</v>
      </c>
      <c r="F9" s="3">
        <f>D9*E9</f>
        <v/>
      </c>
      <c r="G9" s="2" t="n">
        <v>89.90000000000001</v>
      </c>
      <c r="H9" s="3">
        <f>G9/1.2</f>
        <v/>
      </c>
      <c r="I9" s="4">
        <f>(H9-F9)/H9</f>
        <v/>
      </c>
      <c r="J9" s="4">
        <f>F9/G9</f>
        <v/>
      </c>
      <c r="K9">
        <f>IF(I9&gt;=0.65,"OK","KO")</f>
        <v/>
      </c>
      <c r="L9">
        <f>IF(J9&lt;=0.25,"OK","KO")</f>
        <v/>
      </c>
      <c r="M9" s="2" t="n">
        <v>5</v>
      </c>
      <c r="N9" s="2" t="n">
        <v>16</v>
      </c>
      <c r="O9" s="2" t="n">
        <v>12</v>
      </c>
      <c r="P9" s="2" t="n">
        <v>13</v>
      </c>
      <c r="Q9" s="2" t="n">
        <v>9</v>
      </c>
      <c r="R9">
        <f>SUM(M9:Q9)</f>
        <v/>
      </c>
      <c r="S9">
        <f>RANK(R9,$R$2:$R$11)</f>
        <v/>
      </c>
      <c r="T9" s="5" t="inlineStr">
        <is>
          <t>Demande « écharpe alpaga » moy. 1 ; pubs « alpaga » = surtout fil. 0 % (accord UE-Pérou).</t>
        </is>
      </c>
    </row>
    <row r="10">
      <c r="A10" t="inlineStr">
        <is>
          <t>B07</t>
        </is>
      </c>
      <c r="B10" t="inlineStr">
        <is>
          <t>Chaussons feutre de laine</t>
        </is>
      </c>
      <c r="C10" t="inlineStr">
        <is>
          <t>Kirghizistan</t>
        </is>
      </c>
      <c r="D10" s="2" t="n">
        <v>10.32</v>
      </c>
      <c r="E10" s="2" t="n">
        <v>1.3</v>
      </c>
      <c r="F10" s="3">
        <f>D10*E10</f>
        <v/>
      </c>
      <c r="G10" s="2" t="n">
        <v>65</v>
      </c>
      <c r="H10" s="3">
        <f>G10/1.2</f>
        <v/>
      </c>
      <c r="I10" s="4">
        <f>(H10-F10)/H10</f>
        <v/>
      </c>
      <c r="J10" s="4">
        <f>F10/G10</f>
        <v/>
      </c>
      <c r="K10">
        <f>IF(I10&gt;=0.65,"OK","KO")</f>
        <v/>
      </c>
      <c r="L10">
        <f>IF(J10&lt;=0.25,"OK","KO")</f>
        <v/>
      </c>
      <c r="M10" s="2" t="n">
        <v>7</v>
      </c>
      <c r="N10" s="2" t="n">
        <v>16</v>
      </c>
      <c r="O10" s="2" t="n">
        <v>12</v>
      </c>
      <c r="P10" s="2" t="n">
        <v>10</v>
      </c>
      <c r="Q10" s="2" t="n">
        <v>9</v>
      </c>
      <c r="R10">
        <f>SUM(M10:Q10)</f>
        <v/>
      </c>
      <c r="S10">
        <f>RANK(R10,$R$2:$R$11)</f>
        <v/>
      </c>
      <c r="T10" s="5" t="inlineStr">
        <is>
          <t>Demande faible ; ~62 pubs (glerups, Shepherd of Sweden). Chaussures : étiquetage directive 94/11/CE. SPG+.</t>
        </is>
      </c>
    </row>
    <row r="11">
      <c r="A11" t="inlineStr">
        <is>
          <t>A10</t>
        </is>
      </c>
      <c r="B11" t="inlineStr">
        <is>
          <t>Collier perle d'eau douce argent 925</t>
        </is>
      </c>
      <c r="C11" t="inlineStr">
        <is>
          <t>Chine</t>
        </is>
      </c>
      <c r="D11" s="2" t="n">
        <v>12.44</v>
      </c>
      <c r="E11" s="2" t="n">
        <v>1.35</v>
      </c>
      <c r="F11" s="3">
        <f>D11*E11</f>
        <v/>
      </c>
      <c r="G11" s="2" t="n">
        <v>86</v>
      </c>
      <c r="H11" s="3">
        <f>G11/1.2</f>
        <v/>
      </c>
      <c r="I11" s="4">
        <f>(H11-F11)/H11</f>
        <v/>
      </c>
      <c r="J11" s="4">
        <f>F11/G11</f>
        <v/>
      </c>
      <c r="K11">
        <f>IF(I11&gt;=0.65,"OK","KO")</f>
        <v/>
      </c>
      <c r="L11">
        <f>IF(J11&lt;=0.25,"OK","KO")</f>
        <v/>
      </c>
      <c r="M11" s="2" t="n">
        <v>6</v>
      </c>
      <c r="N11" s="2" t="n">
        <v>18</v>
      </c>
      <c r="O11" s="2" t="n">
        <v>3</v>
      </c>
      <c r="P11" s="2" t="n">
        <v>9</v>
      </c>
      <c r="Q11" s="2" t="n">
        <v>12</v>
      </c>
      <c r="R11">
        <f>SUM(M11:Q11)</f>
        <v/>
      </c>
      <c r="S11">
        <f>RANK(R11,$R$2:$R$11)</f>
        <v/>
      </c>
      <c r="T11" s="5" t="inlineStr">
        <is>
          <t>Marché saturé : ~3 500 pubs Meta actives « perles d'eau douce ». Poinçonnage argent + REACH nickel/cadmium.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Élément</t>
        </is>
      </c>
      <c r="B1" s="1" t="inlineStr">
        <is>
          <t>Règle</t>
        </is>
      </c>
    </row>
    <row r="2">
      <c r="A2" t="inlineStr">
        <is>
          <t>Coût rendu</t>
        </is>
      </c>
      <c r="B2" t="inlineStr">
        <is>
          <t>Prix usine × coefficient (fret + droits + transitaire + assurance). Coefficient 1,25 si droit 0 %, 1,30-1,35 si droit 12 %. Détail exact par produit dans unit-economics.xlsx.</t>
        </is>
      </c>
    </row>
    <row r="3">
      <c r="A3" t="inlineStr">
        <is>
          <t>Prix HT</t>
        </is>
      </c>
      <c r="B3" t="inlineStr">
        <is>
          <t>Prix TTC / 1,2 (TVA 20 %).</t>
        </is>
      </c>
    </row>
    <row r="4">
      <c r="A4" t="inlineStr">
        <is>
          <t>Demande /25</t>
        </is>
      </c>
      <c r="B4" t="inlineStr">
        <is>
          <t>Google Trends France 5 ans (connecteur Firecrawl, 2026-10-02) : volume relatif sur échelle commune + tendance + régularité. Voir data/trends_notes.md.</t>
        </is>
      </c>
    </row>
    <row r="5">
      <c r="A5" t="inlineStr">
        <is>
          <t>Marge /25</t>
        </is>
      </c>
      <c r="B5" t="inlineStr">
        <is>
          <t>Marge brute et marge de manœuvre pour absorber un CAC Meta/Google de 15-30 € (prix élevé et coût rendu bas = note haute).</t>
        </is>
      </c>
    </row>
    <row r="6">
      <c r="A6" t="inlineStr">
        <is>
          <t>Concurrence /20</t>
        </is>
      </c>
      <c r="B6" t="inlineStr">
        <is>
          <t>Nombre de pubs Meta actives France (bibliothèque publicitaire), présence d'acteurs dominants, ancre de prix Amazon.fr. Voir data/concurrence_notes.md.</t>
        </is>
      </c>
    </row>
    <row r="7">
      <c r="A7" t="inlineStr">
        <is>
          <t>Import /15</t>
        </is>
      </c>
      <c r="B7" t="inlineStr">
        <is>
          <t>Droit de douane TARIC, règles d'origine, réglementation produit (textile 1007/2011, chaussures 94/11/CE, bijoux/poinçon).</t>
        </is>
      </c>
    </row>
    <row r="8">
      <c r="A8" t="inlineStr">
        <is>
          <t>Rachat /15</t>
        </is>
      </c>
      <c r="B8" t="inlineStr">
        <is>
          <t>Potentiel cadeau, rachat/extension de gamme, étalement saisonnier.</t>
        </is>
      </c>
    </row>
    <row r="9">
      <c r="A9" t="inlineStr">
        <is>
          <t>Cases jaunes</t>
        </is>
      </c>
      <c r="B9" t="inlineStr">
        <is>
          <t>Hypothèses modifiables ; les colonnes calculées et le total se mettent à jour.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2026-10-02T23:29:02Z</dcterms:created>
  <dcterms:modified xsi:type="dcterms:W3CDTF">2026-10-02T23:29:02Z</dcterms:modified>
</cp:coreProperties>
</file>