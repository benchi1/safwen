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èses communes" sheetId="1" state="visible" r:id="rId1"/>
    <sheet name="Taie soie" sheetId="2" state="visible" r:id="rId2"/>
    <sheet name="Panama" sheetId="3" state="visible" r:id="rId3"/>
    <sheet name="Kimono" sheetId="4" state="visible" r:id="rId4"/>
    <sheet name="Trésorerie kimon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0" fillId="2" borderId="0" pivotButton="0" quotePrefix="0" xfId="0"/>
    <xf numFmtId="2" fontId="0" fillId="0" borderId="0" pivotButton="0" quotePrefix="0" xfId="0"/>
    <xf numFmtId="2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3" fontId="0" fillId="0" borderId="0" pivotButton="0" quotePrefix="0" xfId="0"/>
    <xf numFmtId="3" fontId="0" fillId="2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3" max="3"/>
    <col width="70" customWidth="1" min="4" max="4"/>
  </cols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Unité</t>
        </is>
      </c>
      <c r="D1" s="1" t="inlineStr">
        <is>
          <t>Source / méthode</t>
        </is>
      </c>
    </row>
    <row r="2">
      <c r="A2" t="inlineStr">
        <is>
          <t>Taux de change</t>
        </is>
      </c>
      <c r="B2" s="2" t="n">
        <v>0.8807</v>
      </c>
      <c r="C2" t="inlineStr">
        <is>
          <t>€ par USD</t>
        </is>
      </c>
      <c r="D2" t="inlineStr">
        <is>
          <t>BCE 30/09/2026 : 1 € = 1,1355 USD</t>
        </is>
      </c>
    </row>
    <row r="3">
      <c r="A3" t="inlineStr">
        <is>
          <t>TVA France</t>
        </is>
      </c>
      <c r="B3" s="2" t="n">
        <v>0.2</v>
      </c>
      <c r="C3" t="inlineStr"/>
      <c r="D3" t="inlineStr">
        <is>
          <t>Taux normal</t>
        </is>
      </c>
    </row>
    <row r="4">
      <c r="A4" t="inlineStr">
        <is>
          <t>Shopify Payments %</t>
        </is>
      </c>
      <c r="B4" s="2" t="n">
        <v>0.015</v>
      </c>
      <c r="C4" t="inlineStr"/>
      <c r="D4" t="inlineStr">
        <is>
          <t>Cartes UE, https://www.shopify.com/fr/tarifs</t>
        </is>
      </c>
    </row>
    <row r="5">
      <c r="A5" t="inlineStr">
        <is>
          <t>Shopify Payments fixe</t>
        </is>
      </c>
      <c r="B5" s="2" t="n">
        <v>0.25</v>
      </c>
      <c r="C5" t="inlineStr">
        <is>
          <t>€ / transaction</t>
        </is>
      </c>
      <c r="D5" t="inlineStr">
        <is>
          <t>idem</t>
        </is>
      </c>
    </row>
    <row r="6">
      <c r="A6" t="inlineStr">
        <is>
          <t>Assurance fret</t>
        </is>
      </c>
      <c r="B6" s="2" t="n">
        <v>0.005</v>
      </c>
      <c r="C6" t="inlineStr">
        <is>
          <t>% de la valeur</t>
        </is>
      </c>
      <c r="D6" t="inlineStr">
        <is>
          <t>ESTIMATION usage transitaires</t>
        </is>
      </c>
    </row>
    <row r="7">
      <c r="A7" t="inlineStr">
        <is>
          <t>Coût d'un retour (port retour)</t>
        </is>
      </c>
      <c r="B7" s="2" t="n">
        <v>5</v>
      </c>
      <c r="C7" t="inlineStr">
        <is>
          <t>€</t>
        </is>
      </c>
      <c r="D7" t="inlineStr">
        <is>
          <t>ESTIMATION étiquette retour Mondial Relay</t>
        </is>
      </c>
    </row>
    <row r="8">
      <c r="A8" t="inlineStr">
        <is>
          <t>Perte sur produit retourné</t>
        </is>
      </c>
      <c r="B8" s="2" t="n">
        <v>0.2</v>
      </c>
      <c r="C8" t="inlineStr">
        <is>
          <t>% du coût rendu</t>
        </is>
      </c>
      <c r="D8" t="inlineStr">
        <is>
          <t>ESTIMATION article non revendable neuf</t>
        </is>
      </c>
    </row>
    <row r="9">
      <c r="A9" t="inlineStr">
        <is>
          <t>Abonnement Shopify</t>
        </is>
      </c>
      <c r="B9" s="2" t="n">
        <v>36</v>
      </c>
      <c r="C9" t="inlineStr">
        <is>
          <t>€ / mois</t>
        </is>
      </c>
      <c r="D9" t="inlineStr">
        <is>
          <t>Shopify Basic mensuel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80" customWidth="1" min="5" max="5"/>
  </cols>
  <sheetData>
    <row r="1">
      <c r="A1" s="3" t="inlineStr">
        <is>
          <t>Taie d'oreiller 100 % soie de mûrier 25 momme (Chine) — vendue 89 € TTC</t>
        </is>
      </c>
    </row>
    <row r="3">
      <c r="A3" s="1" t="inlineStr">
        <is>
          <t>HYPOTHÈSES (cases jaunes modifiables)</t>
        </is>
      </c>
      <c r="B3" t="inlineStr">
        <is>
          <t>Valeur</t>
        </is>
      </c>
      <c r="C3" t="inlineStr"/>
      <c r="D3" t="inlineStr"/>
      <c r="E3" t="inlineStr">
        <is>
          <t>Source / méthode</t>
        </is>
      </c>
    </row>
    <row r="4">
      <c r="A4" t="inlineStr">
        <is>
          <t>Prix FOB unitaire (USD)</t>
        </is>
      </c>
      <c r="B4" s="2" t="n">
        <v>15</v>
      </c>
      <c r="C4" t="inlineStr"/>
      <c r="D4" t="inlineStr"/>
      <c r="E4" t="inlineStr">
        <is>
          <t>Xinlan (Shaoxing) 25 momme 14-15 $ dès 100 pcs ; Zhigeng 15-18 $ (data/fournisseurs_taie.csv)</t>
        </is>
      </c>
    </row>
    <row r="5">
      <c r="A5" t="inlineStr">
        <is>
          <t>Quantité commandée (unités)</t>
        </is>
      </c>
      <c r="B5" s="2" t="n">
        <v>200</v>
      </c>
      <c r="C5" t="inlineStr"/>
      <c r="D5" t="inlineStr"/>
      <c r="E5" t="inlineStr">
        <is>
          <t>2 coloris × 100 (MOQ Zhigeng 100 / Xinlan 100)</t>
        </is>
      </c>
    </row>
    <row r="6">
      <c r="A6" t="inlineStr">
        <is>
          <t>Poids taxable par unité (kg)</t>
        </is>
      </c>
      <c r="B6" s="2" t="n">
        <v>0.3</v>
      </c>
      <c r="C6" t="inlineStr"/>
      <c r="D6" t="inlineStr"/>
      <c r="E6" t="inlineStr">
        <is>
          <t>ESTIMATION : taie 25 momme ~0,15 kg + boîte cadeau, poids taxable</t>
        </is>
      </c>
    </row>
    <row r="7">
      <c r="A7" t="inlineStr">
        <is>
          <t>Fret aérien (€/kg)</t>
        </is>
      </c>
      <c r="B7" s="2" t="n">
        <v>7</v>
      </c>
      <c r="C7" t="inlineStr"/>
      <c r="D7" t="inlineStr"/>
      <c r="E7" t="inlineStr">
        <is>
          <t>ESTIMATION fret aérien consolidé Chine→CDG 5-8 €/kg, à faire coter (transitaire)</t>
        </is>
      </c>
    </row>
    <row r="8">
      <c r="A8" t="inlineStr">
        <is>
          <t>Droit de douane</t>
        </is>
      </c>
      <c r="B8" s="4" t="n">
        <v>0.12</v>
      </c>
      <c r="C8" t="inlineStr"/>
      <c r="D8" t="inlineStr"/>
      <c r="E8" t="inlineStr">
        <is>
          <t>TARIC 6302 39 90, droit tiers 12 % (consulté 2026-10-02)</t>
        </is>
      </c>
    </row>
    <row r="9">
      <c r="A9" t="inlineStr">
        <is>
          <t>Transitaire + dédouanement (€/lot)</t>
        </is>
      </c>
      <c r="B9" s="2" t="n">
        <v>180</v>
      </c>
      <c r="C9" t="inlineStr"/>
      <c r="D9" t="inlineStr"/>
      <c r="E9" t="inlineStr">
        <is>
          <t>ESTIMATION forfait transitaire + déclaration en douane par lot (devis à obtenir)</t>
        </is>
      </c>
    </row>
    <row r="10">
      <c r="A10" t="inlineStr">
        <is>
          <t>Tests / conformité (€/lot)</t>
        </is>
      </c>
      <c r="B10" s="2" t="n">
        <v>250</v>
      </c>
      <c r="C10" t="inlineStr"/>
      <c r="D10" t="inlineStr"/>
      <c r="E10" t="inlineStr">
        <is>
          <t>ESTIMATION rapport REACH azoïques/CMR par coloris, amorti sur le lot</t>
        </is>
      </c>
    </row>
    <row r="11">
      <c r="A11" t="inlineStr">
        <is>
          <t>Packaging de marque (€/unité)</t>
        </is>
      </c>
      <c r="B11" s="2" t="n">
        <v>2.5</v>
      </c>
      <c r="C11" t="inlineStr"/>
      <c r="D11" t="inlineStr"/>
      <c r="E11" t="inlineStr">
        <is>
          <t>ESTIMATION boîte rigide + papier de soie + carte, 1,5-3 € à 200 pcs</t>
        </is>
      </c>
    </row>
    <row r="12">
      <c r="A12" t="inlineStr">
        <is>
          <t>Prix de vente TTC (€)</t>
        </is>
      </c>
      <c r="B12" s="2" t="n">
        <v>89</v>
      </c>
      <c r="C12" t="inlineStr"/>
      <c r="D12" t="inlineStr"/>
      <c r="E12" t="inlineStr">
        <is>
          <t>Positionnement 25 momme ; cœur DTC FR 55-72 €, luxe 93-125 € (data/p3_taie.md)</t>
        </is>
      </c>
    </row>
    <row r="13">
      <c r="A13" t="inlineStr">
        <is>
          <t>Livraison client payée par la marque (€ HT)</t>
        </is>
      </c>
      <c r="B13" s="2" t="n">
        <v>4.5</v>
      </c>
      <c r="C13" t="inlineStr"/>
      <c r="D13" t="inlineStr"/>
      <c r="E13" t="inlineStr">
        <is>
          <t>Mondial Relay pro ≤1 kg (data/couts_notes.md)</t>
        </is>
      </c>
    </row>
    <row r="14">
      <c r="A14" t="inlineStr">
        <is>
          <t>Taux de retour</t>
        </is>
      </c>
      <c r="B14" s="4" t="n">
        <v>0.03</v>
      </c>
      <c r="C14" t="inlineStr"/>
      <c r="D14" t="inlineStr"/>
      <c r="E14" t="inlineStr">
        <is>
          <t>ESTIMATION : produit literie, retours faibles</t>
        </is>
      </c>
    </row>
    <row r="16">
      <c r="A16" s="1" t="inlineStr">
        <is>
          <t>COÛT RENDU FRANCE</t>
        </is>
      </c>
      <c r="B16" t="inlineStr">
        <is>
          <t>Total lot (€)</t>
        </is>
      </c>
      <c r="C16" t="inlineStr">
        <is>
          <t>Par unité (€)</t>
        </is>
      </c>
    </row>
    <row r="17">
      <c r="A17" t="inlineStr">
        <is>
          <t>Marchandise (FOB × change × quantité)</t>
        </is>
      </c>
      <c r="B17" s="5">
        <f>$B$4*'Hypothèses communes'!$B$2*$B$5</f>
        <v/>
      </c>
      <c r="C17" s="5">
        <f>B17/$B$5</f>
        <v/>
      </c>
    </row>
    <row r="18">
      <c r="A18" t="inlineStr">
        <is>
          <t>Fret aérien</t>
        </is>
      </c>
      <c r="B18" s="5">
        <f>$B$6*$B$7*$B$5</f>
        <v/>
      </c>
      <c r="C18" s="5">
        <f>B18/$B$5</f>
        <v/>
      </c>
    </row>
    <row r="19">
      <c r="A19" t="inlineStr">
        <is>
          <t>Assurance</t>
        </is>
      </c>
      <c r="B19" s="5">
        <f>(B17+B18)*'Hypothèses communes'!$B$6</f>
        <v/>
      </c>
      <c r="C19" s="5">
        <f>B19/$B$5</f>
        <v/>
      </c>
    </row>
    <row r="20">
      <c r="A20" t="inlineStr">
        <is>
          <t>Valeur en douane (CIF)</t>
        </is>
      </c>
      <c r="B20" s="5">
        <f>B17+B18+B19</f>
        <v/>
      </c>
      <c r="C20" s="5">
        <f>B20/$B$5</f>
        <v/>
      </c>
    </row>
    <row r="21">
      <c r="A21" t="inlineStr">
        <is>
          <t>Droits de douane</t>
        </is>
      </c>
      <c r="B21" s="5">
        <f>B20*$B$8</f>
        <v/>
      </c>
      <c r="C21" s="5">
        <f>B21/$B$5</f>
        <v/>
      </c>
    </row>
    <row r="22">
      <c r="A22" t="inlineStr">
        <is>
          <t>Transitaire + dédouanement</t>
        </is>
      </c>
      <c r="B22" s="5">
        <f>$B$9</f>
        <v/>
      </c>
      <c r="C22" s="5">
        <f>B22/$B$5</f>
        <v/>
      </c>
    </row>
    <row r="23">
      <c r="A23" t="inlineStr">
        <is>
          <t>Tests / conformité</t>
        </is>
      </c>
      <c r="B23" s="5">
        <f>$B$10</f>
        <v/>
      </c>
      <c r="C23" s="5">
        <f>B23/$B$5</f>
        <v/>
      </c>
    </row>
    <row r="24">
      <c r="A24" t="inlineStr">
        <is>
          <t>Packaging de marque</t>
        </is>
      </c>
      <c r="B24" s="5">
        <f>$B$11*$B$5</f>
        <v/>
      </c>
      <c r="C24" s="5">
        <f>B24/$B$5</f>
        <v/>
      </c>
    </row>
    <row r="25">
      <c r="A25" s="1" t="inlineStr">
        <is>
          <t>COÛT RENDU (hors TVA import, récupérable)</t>
        </is>
      </c>
      <c r="B25" s="5">
        <f>B20+B21+B22+B23+B24</f>
        <v/>
      </c>
      <c r="C25" s="6">
        <f>B25/$B$5</f>
        <v/>
      </c>
    </row>
    <row r="26">
      <c r="A26" t="inlineStr">
        <is>
          <t>TVA import à avancer (récupérée ensuite)</t>
        </is>
      </c>
      <c r="B26" s="5">
        <f>(B20+B21)*'Hypothèses communes'!$B$3</f>
        <v/>
      </c>
      <c r="C26" s="5">
        <f>B26/$B$5</f>
        <v/>
      </c>
    </row>
    <row r="28">
      <c r="A28" s="1" t="inlineStr">
        <is>
          <t>UNIT ECONOMICS PAR COMMANDE (1 unité)</t>
        </is>
      </c>
      <c r="B28" t="inlineStr">
        <is>
          <t>€</t>
        </is>
      </c>
    </row>
    <row r="29">
      <c r="A29" t="inlineStr">
        <is>
          <t>Prix TTC</t>
        </is>
      </c>
      <c r="B29" s="5">
        <f>$B$12</f>
        <v/>
      </c>
    </row>
    <row r="30">
      <c r="A30" t="inlineStr">
        <is>
          <t>Prix HT</t>
        </is>
      </c>
      <c r="B30" s="5">
        <f>B29/(1+'Hypothèses communes'!$B$3)</f>
        <v/>
      </c>
    </row>
    <row r="31">
      <c r="A31" t="inlineStr">
        <is>
          <t>Coût rendu unitaire</t>
        </is>
      </c>
      <c r="B31" s="5">
        <f>C25</f>
        <v/>
      </c>
    </row>
    <row r="32">
      <c r="A32" t="inlineStr">
        <is>
          <t>Marge brute (€)</t>
        </is>
      </c>
      <c r="B32" s="5">
        <f>B30-B31</f>
        <v/>
      </c>
    </row>
    <row r="33">
      <c r="A33" s="1" t="inlineStr">
        <is>
          <t>Marge brute % du HT (critère ≥ 65 %)</t>
        </is>
      </c>
      <c r="B33" s="7">
        <f>B32/B30</f>
        <v/>
      </c>
    </row>
    <row r="34">
      <c r="A34" s="1" t="inlineStr">
        <is>
          <t>Coût rendu % du TTC (critère ≤ 25 %)</t>
        </is>
      </c>
      <c r="B34" s="7">
        <f>B31/B29</f>
        <v/>
      </c>
    </row>
    <row r="35">
      <c r="A35" t="inlineStr">
        <is>
          <t>Frais de paiement Shopify</t>
        </is>
      </c>
      <c r="B35" s="5">
        <f>B29*'Hypothèses communes'!$B$4+'Hypothèses communes'!$B$5</f>
        <v/>
      </c>
    </row>
    <row r="36">
      <c r="A36" t="inlineStr">
        <is>
          <t>Livraison client</t>
        </is>
      </c>
      <c r="B36" s="5">
        <f>$B$13</f>
        <v/>
      </c>
    </row>
    <row r="37">
      <c r="A37" t="inlineStr">
        <is>
          <t>Coût des retours (par commande)</t>
        </is>
      </c>
      <c r="B37" s="5">
        <f>$B$14*('Hypothèses communes'!$B$7+'Hypothèses communes'!$B$8*B31+B36)</f>
        <v/>
      </c>
    </row>
    <row r="38">
      <c r="A38" s="1" t="inlineStr">
        <is>
          <t>CONTRIBUTION AVANT PUB (€)</t>
        </is>
      </c>
      <c r="B38" s="6">
        <f>B32-B35-B36-B37</f>
        <v/>
      </c>
    </row>
    <row r="39">
      <c r="A39" t="inlineStr">
        <is>
          <t>Contribution avant pub % du HT</t>
        </is>
      </c>
      <c r="B39" s="8">
        <f>B38/B30</f>
        <v/>
      </c>
    </row>
    <row r="40">
      <c r="A40" s="1" t="inlineStr">
        <is>
          <t>CAC SEUIL (point mort par commande, €)</t>
        </is>
      </c>
      <c r="B40" s="6">
        <f>B38</f>
        <v/>
      </c>
    </row>
    <row r="41">
      <c r="A41" t="inlineStr">
        <is>
          <t>ROAS seuil (CA TTC / dépense pub)</t>
        </is>
      </c>
      <c r="B41" s="5">
        <f>B29/B40</f>
        <v/>
      </c>
    </row>
    <row r="43">
      <c r="A43" s="1" t="inlineStr">
        <is>
          <t>SCÉNARIOS DE COÛT D'ACQUISITION</t>
        </is>
      </c>
      <c r="B43" t="inlineStr">
        <is>
          <t>CAC (€)</t>
        </is>
      </c>
      <c r="C43" t="inlineStr">
        <is>
          <t>Contribution après pub (€)</t>
        </is>
      </c>
      <c r="D43" t="inlineStr">
        <is>
          <t>% du HT</t>
        </is>
      </c>
    </row>
    <row r="44">
      <c r="A44" t="inlineStr">
        <is>
          <t>Optimiste</t>
        </is>
      </c>
      <c r="B44" s="2" t="n">
        <v>15</v>
      </c>
      <c r="C44" s="5">
        <f>B38-B44</f>
        <v/>
      </c>
      <c r="D44" s="8">
        <f>C44/B30</f>
        <v/>
      </c>
      <c r="E44" t="inlineStr">
        <is>
          <t>ESTIMATION : CAC Meta/Google DTC accessoires premium France ; à remplacer par le CAC mesuré au test</t>
        </is>
      </c>
    </row>
    <row r="45">
      <c r="A45" t="inlineStr">
        <is>
          <t>Central</t>
        </is>
      </c>
      <c r="B45" s="2" t="n">
        <v>25</v>
      </c>
      <c r="C45" s="5">
        <f>B38-B45</f>
        <v/>
      </c>
      <c r="D45" s="8">
        <f>C45/B30</f>
        <v/>
      </c>
      <c r="E45" t="inlineStr">
        <is>
          <t>ESTIMATION : CAC Meta/Google DTC accessoires premium France ; à remplacer par le CAC mesuré au test</t>
        </is>
      </c>
    </row>
    <row r="46">
      <c r="A46" t="inlineStr">
        <is>
          <t>Pessimiste</t>
        </is>
      </c>
      <c r="B46" s="2" t="n">
        <v>35</v>
      </c>
      <c r="C46" s="5">
        <f>B38-B46</f>
        <v/>
      </c>
      <c r="D46" s="8">
        <f>C46/B30</f>
        <v/>
      </c>
      <c r="E46" t="inlineStr">
        <is>
          <t>ESTIMATION : CAC Meta/Google DTC accessoires premium France ; à remplacer par le CAC mesuré au test</t>
        </is>
      </c>
    </row>
    <row r="48">
      <c r="A48" t="inlineStr">
        <is>
          <t>Lecture : si la contribution après pub est négative au CAC central, ne pas lancer sans 2e article dans le panier (bundle) ou prix plus élevé.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80" customWidth="1" min="5" max="5"/>
  </cols>
  <sheetData>
    <row r="1">
      <c r="A1" s="3" t="inlineStr">
        <is>
          <t>Chapeau Panama toquilla grade 3-4 (Équateur) — vendu 139 € TTC</t>
        </is>
      </c>
    </row>
    <row r="3">
      <c r="A3" s="1" t="inlineStr">
        <is>
          <t>HYPOTHÈSES (cases jaunes modifiables)</t>
        </is>
      </c>
      <c r="B3" t="inlineStr">
        <is>
          <t>Valeur</t>
        </is>
      </c>
      <c r="C3" t="inlineStr"/>
      <c r="D3" t="inlineStr"/>
      <c r="E3" t="inlineStr">
        <is>
          <t>Source / méthode</t>
        </is>
      </c>
    </row>
    <row r="4">
      <c r="A4" t="inlineStr">
        <is>
          <t>Prix FOB unitaire (USD)</t>
        </is>
      </c>
      <c r="B4" s="2" t="n">
        <v>27.99</v>
      </c>
      <c r="C4" t="inlineStr"/>
      <c r="D4" t="inlineStr"/>
      <c r="E4" t="inlineStr">
        <is>
          <t>Ecuadorian Crafts grade 3-4 avec logo, MOQ 12 (data/fournisseurs_panama.csv)</t>
        </is>
      </c>
    </row>
    <row r="5">
      <c r="A5" t="inlineStr">
        <is>
          <t>Quantité commandée (unités)</t>
        </is>
      </c>
      <c r="B5" s="2" t="n">
        <v>36</v>
      </c>
      <c r="C5" t="inlineStr"/>
      <c r="D5" t="inlineStr"/>
      <c r="E5" t="inlineStr">
        <is>
          <t>3 modèles × 12 (MOQ 12)</t>
        </is>
      </c>
    </row>
    <row r="6">
      <c r="A6" t="inlineStr">
        <is>
          <t>Poids taxable par unité (kg)</t>
        </is>
      </c>
      <c r="B6" s="2" t="n">
        <v>1</v>
      </c>
      <c r="C6" t="inlineStr"/>
      <c r="D6" t="inlineStr"/>
      <c r="E6" t="inlineStr">
        <is>
          <t>ESTIMATION poids volumétrique par chapeau en carton gigogne (à coter)</t>
        </is>
      </c>
    </row>
    <row r="7">
      <c r="A7" t="inlineStr">
        <is>
          <t>Fret aérien (€/kg)</t>
        </is>
      </c>
      <c r="B7" s="2" t="n">
        <v>8</v>
      </c>
      <c r="C7" t="inlineStr"/>
      <c r="D7" t="inlineStr"/>
      <c r="E7" t="inlineStr">
        <is>
          <t>ESTIMATION fret aérien Guayaquil/Quito→CDG, à faire coter</t>
        </is>
      </c>
    </row>
    <row r="8">
      <c r="A8" t="inlineStr">
        <is>
          <t>Droit de douane</t>
        </is>
      </c>
      <c r="B8" s="4" t="n">
        <v>0</v>
      </c>
      <c r="C8" t="inlineStr"/>
      <c r="D8" t="inlineStr"/>
      <c r="E8" t="inlineStr">
        <is>
          <t>TARIC 6504 00 00 : droit tiers 0 %, préférence Équateur 0 %</t>
        </is>
      </c>
    </row>
    <row r="9">
      <c r="A9" t="inlineStr">
        <is>
          <t>Transitaire + dédouanement (€/lot)</t>
        </is>
      </c>
      <c r="B9" s="2" t="n">
        <v>180</v>
      </c>
      <c r="C9" t="inlineStr"/>
      <c r="D9" t="inlineStr"/>
      <c r="E9" t="inlineStr">
        <is>
          <t>ESTIMATION forfait transitaire + déclaration</t>
        </is>
      </c>
    </row>
    <row r="10">
      <c r="A10" t="inlineStr">
        <is>
          <t>Tests / conformité (€/lot)</t>
        </is>
      </c>
      <c r="B10" s="2" t="n">
        <v>0</v>
      </c>
      <c r="C10" t="inlineStr"/>
      <c r="D10" t="inlineStr"/>
      <c r="E10" t="inlineStr">
        <is>
          <t>Pas de test chimique obligatoire identifié (paille végétale)</t>
        </is>
      </c>
    </row>
    <row r="11">
      <c r="A11" t="inlineStr">
        <is>
          <t>Packaging de marque (€/unité)</t>
        </is>
      </c>
      <c r="B11" s="2" t="n">
        <v>4</v>
      </c>
      <c r="C11" t="inlineStr"/>
      <c r="D11" t="inlineStr"/>
      <c r="E11" t="inlineStr">
        <is>
          <t>ESTIMATION boîte à chapeau rigide 3-5 €</t>
        </is>
      </c>
    </row>
    <row r="12">
      <c r="A12" t="inlineStr">
        <is>
          <t>Prix de vente TTC (€)</t>
        </is>
      </c>
      <c r="B12" s="2" t="n">
        <v>139</v>
      </c>
      <c r="C12" t="inlineStr"/>
      <c r="D12" t="inlineStr"/>
      <c r="E12" t="inlineStr">
        <is>
          <t>Traclet 65-190 €, MonChapeauPanama 79-139 €, Borsalino 230-270 € (data/p3_panama.md)</t>
        </is>
      </c>
    </row>
    <row r="13">
      <c r="A13" t="inlineStr">
        <is>
          <t>Livraison client payée par la marque (€ HT)</t>
        </is>
      </c>
      <c r="B13" s="2" t="n">
        <v>6.5</v>
      </c>
      <c r="C13" t="inlineStr"/>
      <c r="D13" t="inlineStr"/>
      <c r="E13" t="inlineStr">
        <is>
          <t>ESTIMATION colis volumineux (boîte à chapeau) en point relais/Colissimo</t>
        </is>
      </c>
    </row>
    <row r="14">
      <c r="A14" t="inlineStr">
        <is>
          <t>Taux de retour</t>
        </is>
      </c>
      <c r="B14" s="4" t="n">
        <v>0.08</v>
      </c>
      <c r="C14" t="inlineStr"/>
      <c r="D14" t="inlineStr"/>
      <c r="E14" t="inlineStr">
        <is>
          <t>ESTIMATION : tailles de tour de tête</t>
        </is>
      </c>
    </row>
    <row r="16">
      <c r="A16" s="1" t="inlineStr">
        <is>
          <t>COÛT RENDU FRANCE</t>
        </is>
      </c>
      <c r="B16" t="inlineStr">
        <is>
          <t>Total lot (€)</t>
        </is>
      </c>
      <c r="C16" t="inlineStr">
        <is>
          <t>Par unité (€)</t>
        </is>
      </c>
    </row>
    <row r="17">
      <c r="A17" t="inlineStr">
        <is>
          <t>Marchandise (FOB × change × quantité)</t>
        </is>
      </c>
      <c r="B17" s="5">
        <f>$B$4*'Hypothèses communes'!$B$2*$B$5</f>
        <v/>
      </c>
      <c r="C17" s="5">
        <f>B17/$B$5</f>
        <v/>
      </c>
    </row>
    <row r="18">
      <c r="A18" t="inlineStr">
        <is>
          <t>Fret aérien</t>
        </is>
      </c>
      <c r="B18" s="5">
        <f>$B$6*$B$7*$B$5</f>
        <v/>
      </c>
      <c r="C18" s="5">
        <f>B18/$B$5</f>
        <v/>
      </c>
    </row>
    <row r="19">
      <c r="A19" t="inlineStr">
        <is>
          <t>Assurance</t>
        </is>
      </c>
      <c r="B19" s="5">
        <f>(B17+B18)*'Hypothèses communes'!$B$6</f>
        <v/>
      </c>
      <c r="C19" s="5">
        <f>B19/$B$5</f>
        <v/>
      </c>
    </row>
    <row r="20">
      <c r="A20" t="inlineStr">
        <is>
          <t>Valeur en douane (CIF)</t>
        </is>
      </c>
      <c r="B20" s="5">
        <f>B17+B18+B19</f>
        <v/>
      </c>
      <c r="C20" s="5">
        <f>B20/$B$5</f>
        <v/>
      </c>
    </row>
    <row r="21">
      <c r="A21" t="inlineStr">
        <is>
          <t>Droits de douane</t>
        </is>
      </c>
      <c r="B21" s="5">
        <f>B20*$B$8</f>
        <v/>
      </c>
      <c r="C21" s="5">
        <f>B21/$B$5</f>
        <v/>
      </c>
    </row>
    <row r="22">
      <c r="A22" t="inlineStr">
        <is>
          <t>Transitaire + dédouanement</t>
        </is>
      </c>
      <c r="B22" s="5">
        <f>$B$9</f>
        <v/>
      </c>
      <c r="C22" s="5">
        <f>B22/$B$5</f>
        <v/>
      </c>
    </row>
    <row r="23">
      <c r="A23" t="inlineStr">
        <is>
          <t>Tests / conformité</t>
        </is>
      </c>
      <c r="B23" s="5">
        <f>$B$10</f>
        <v/>
      </c>
      <c r="C23" s="5">
        <f>B23/$B$5</f>
        <v/>
      </c>
    </row>
    <row r="24">
      <c r="A24" t="inlineStr">
        <is>
          <t>Packaging de marque</t>
        </is>
      </c>
      <c r="B24" s="5">
        <f>$B$11*$B$5</f>
        <v/>
      </c>
      <c r="C24" s="5">
        <f>B24/$B$5</f>
        <v/>
      </c>
    </row>
    <row r="25">
      <c r="A25" s="1" t="inlineStr">
        <is>
          <t>COÛT RENDU (hors TVA import, récupérable)</t>
        </is>
      </c>
      <c r="B25" s="5">
        <f>B20+B21+B22+B23+B24</f>
        <v/>
      </c>
      <c r="C25" s="6">
        <f>B25/$B$5</f>
        <v/>
      </c>
    </row>
    <row r="26">
      <c r="A26" t="inlineStr">
        <is>
          <t>TVA import à avancer (récupérée ensuite)</t>
        </is>
      </c>
      <c r="B26" s="5">
        <f>(B20+B21)*'Hypothèses communes'!$B$3</f>
        <v/>
      </c>
      <c r="C26" s="5">
        <f>B26/$B$5</f>
        <v/>
      </c>
    </row>
    <row r="28">
      <c r="A28" s="1" t="inlineStr">
        <is>
          <t>UNIT ECONOMICS PAR COMMANDE (1 unité)</t>
        </is>
      </c>
      <c r="B28" t="inlineStr">
        <is>
          <t>€</t>
        </is>
      </c>
    </row>
    <row r="29">
      <c r="A29" t="inlineStr">
        <is>
          <t>Prix TTC</t>
        </is>
      </c>
      <c r="B29" s="5">
        <f>$B$12</f>
        <v/>
      </c>
    </row>
    <row r="30">
      <c r="A30" t="inlineStr">
        <is>
          <t>Prix HT</t>
        </is>
      </c>
      <c r="B30" s="5">
        <f>B29/(1+'Hypothèses communes'!$B$3)</f>
        <v/>
      </c>
    </row>
    <row r="31">
      <c r="A31" t="inlineStr">
        <is>
          <t>Coût rendu unitaire</t>
        </is>
      </c>
      <c r="B31" s="5">
        <f>C25</f>
        <v/>
      </c>
    </row>
    <row r="32">
      <c r="A32" t="inlineStr">
        <is>
          <t>Marge brute (€)</t>
        </is>
      </c>
      <c r="B32" s="5">
        <f>B30-B31</f>
        <v/>
      </c>
    </row>
    <row r="33">
      <c r="A33" s="1" t="inlineStr">
        <is>
          <t>Marge brute % du HT (critère ≥ 65 %)</t>
        </is>
      </c>
      <c r="B33" s="7">
        <f>B32/B30</f>
        <v/>
      </c>
    </row>
    <row r="34">
      <c r="A34" s="1" t="inlineStr">
        <is>
          <t>Coût rendu % du TTC (critère ≤ 25 %)</t>
        </is>
      </c>
      <c r="B34" s="7">
        <f>B31/B29</f>
        <v/>
      </c>
    </row>
    <row r="35">
      <c r="A35" t="inlineStr">
        <is>
          <t>Frais de paiement Shopify</t>
        </is>
      </c>
      <c r="B35" s="5">
        <f>B29*'Hypothèses communes'!$B$4+'Hypothèses communes'!$B$5</f>
        <v/>
      </c>
    </row>
    <row r="36">
      <c r="A36" t="inlineStr">
        <is>
          <t>Livraison client</t>
        </is>
      </c>
      <c r="B36" s="5">
        <f>$B$13</f>
        <v/>
      </c>
    </row>
    <row r="37">
      <c r="A37" t="inlineStr">
        <is>
          <t>Coût des retours (par commande)</t>
        </is>
      </c>
      <c r="B37" s="5">
        <f>$B$14*('Hypothèses communes'!$B$7+'Hypothèses communes'!$B$8*B31+B36)</f>
        <v/>
      </c>
    </row>
    <row r="38">
      <c r="A38" s="1" t="inlineStr">
        <is>
          <t>CONTRIBUTION AVANT PUB (€)</t>
        </is>
      </c>
      <c r="B38" s="6">
        <f>B32-B35-B36-B37</f>
        <v/>
      </c>
    </row>
    <row r="39">
      <c r="A39" t="inlineStr">
        <is>
          <t>Contribution avant pub % du HT</t>
        </is>
      </c>
      <c r="B39" s="8">
        <f>B38/B30</f>
        <v/>
      </c>
    </row>
    <row r="40">
      <c r="A40" s="1" t="inlineStr">
        <is>
          <t>CAC SEUIL (point mort par commande, €)</t>
        </is>
      </c>
      <c r="B40" s="6">
        <f>B38</f>
        <v/>
      </c>
    </row>
    <row r="41">
      <c r="A41" t="inlineStr">
        <is>
          <t>ROAS seuil (CA TTC / dépense pub)</t>
        </is>
      </c>
      <c r="B41" s="5">
        <f>B29/B40</f>
        <v/>
      </c>
    </row>
    <row r="43">
      <c r="A43" s="1" t="inlineStr">
        <is>
          <t>SCÉNARIOS DE COÛT D'ACQUISITION</t>
        </is>
      </c>
      <c r="B43" t="inlineStr">
        <is>
          <t>CAC (€)</t>
        </is>
      </c>
      <c r="C43" t="inlineStr">
        <is>
          <t>Contribution après pub (€)</t>
        </is>
      </c>
      <c r="D43" t="inlineStr">
        <is>
          <t>% du HT</t>
        </is>
      </c>
    </row>
    <row r="44">
      <c r="A44" t="inlineStr">
        <is>
          <t>Optimiste</t>
        </is>
      </c>
      <c r="B44" s="2" t="n">
        <v>20</v>
      </c>
      <c r="C44" s="5">
        <f>B38-B44</f>
        <v/>
      </c>
      <c r="D44" s="8">
        <f>C44/B30</f>
        <v/>
      </c>
      <c r="E44" t="inlineStr">
        <is>
          <t>ESTIMATION : CAC Meta/Google DTC accessoires premium France ; à remplacer par le CAC mesuré au test</t>
        </is>
      </c>
    </row>
    <row r="45">
      <c r="A45" t="inlineStr">
        <is>
          <t>Central</t>
        </is>
      </c>
      <c r="B45" s="2" t="n">
        <v>35</v>
      </c>
      <c r="C45" s="5">
        <f>B38-B45</f>
        <v/>
      </c>
      <c r="D45" s="8">
        <f>C45/B30</f>
        <v/>
      </c>
      <c r="E45" t="inlineStr">
        <is>
          <t>ESTIMATION : CAC Meta/Google DTC accessoires premium France ; à remplacer par le CAC mesuré au test</t>
        </is>
      </c>
    </row>
    <row r="46">
      <c r="A46" t="inlineStr">
        <is>
          <t>Pessimiste</t>
        </is>
      </c>
      <c r="B46" s="2" t="n">
        <v>50</v>
      </c>
      <c r="C46" s="5">
        <f>B38-B46</f>
        <v/>
      </c>
      <c r="D46" s="8">
        <f>C46/B30</f>
        <v/>
      </c>
      <c r="E46" t="inlineStr">
        <is>
          <t>ESTIMATION : CAC Meta/Google DTC accessoires premium France ; à remplacer par le CAC mesuré au test</t>
        </is>
      </c>
    </row>
    <row r="48">
      <c r="A48" t="inlineStr">
        <is>
          <t>Lecture : si la contribution après pub est négative au CAC central, ne pas lancer sans 2e article dans le panier (bundle) ou prix plus élevé.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80" customWidth="1" min="5" max="5"/>
  </cols>
  <sheetData>
    <row r="1">
      <c r="A1" s="3" t="inlineStr">
        <is>
          <t>Kimono long coton imprimé au bloc (Jaipur, Inde) — vendu 85 € TTC — PRODUIT RECOMMANDÉ</t>
        </is>
      </c>
    </row>
    <row r="3">
      <c r="A3" s="1" t="inlineStr">
        <is>
          <t>HYPOTHÈSES (cases jaunes modifiables)</t>
        </is>
      </c>
      <c r="B3" t="inlineStr">
        <is>
          <t>Valeur</t>
        </is>
      </c>
      <c r="C3" t="inlineStr"/>
      <c r="D3" t="inlineStr"/>
      <c r="E3" t="inlineStr">
        <is>
          <t>Source / méthode</t>
        </is>
      </c>
    </row>
    <row r="4">
      <c r="A4" t="inlineStr">
        <is>
          <t>Prix FOB unitaire (USD)</t>
        </is>
      </c>
      <c r="B4" s="2" t="n">
        <v>6.5</v>
      </c>
      <c r="C4" t="inlineStr"/>
      <c r="D4" t="inlineStr"/>
      <c r="E4" t="inlineStr">
        <is>
          <t>IndiaMART Jaipur ₹450-650 = 5,1-7,4 $ (Meera, Om Shiva, Bhavya) ; Moharis sur devis (data/fournisseurs_kimono.csv)</t>
        </is>
      </c>
    </row>
    <row r="5">
      <c r="A5" t="inlineStr">
        <is>
          <t>Quantité commandée (unités)</t>
        </is>
      </c>
      <c r="B5" s="2" t="n">
        <v>120</v>
      </c>
      <c r="C5" t="inlineStr"/>
      <c r="D5" t="inlineStr"/>
      <c r="E5" t="inlineStr">
        <is>
          <t>3 motifs × 40 (Moharis MOQ 20/motif)</t>
        </is>
      </c>
    </row>
    <row r="6">
      <c r="A6" t="inlineStr">
        <is>
          <t>Poids taxable par unité (kg)</t>
        </is>
      </c>
      <c r="B6" s="2" t="n">
        <v>0.4</v>
      </c>
      <c r="C6" t="inlineStr"/>
      <c r="D6" t="inlineStr"/>
      <c r="E6" t="inlineStr">
        <is>
          <t>ESTIMATION kimono voile coton ~0,35 kg + emballage</t>
        </is>
      </c>
    </row>
    <row r="7">
      <c r="A7" t="inlineStr">
        <is>
          <t>Fret aérien (€/kg)</t>
        </is>
      </c>
      <c r="B7" s="2" t="n">
        <v>6</v>
      </c>
      <c r="C7" t="inlineStr"/>
      <c r="D7" t="inlineStr"/>
      <c r="E7" t="inlineStr">
        <is>
          <t>ESTIMATION fret aérien Jaipur/Delhi→CDG, à faire coter</t>
        </is>
      </c>
    </row>
    <row r="8">
      <c r="A8" t="inlineStr">
        <is>
          <t>Droit de douane</t>
        </is>
      </c>
      <c r="B8" s="4" t="n">
        <v>0.096</v>
      </c>
      <c r="C8" t="inlineStr"/>
      <c r="D8" t="inlineStr"/>
      <c r="E8" t="inlineStr">
        <is>
          <t>TARIC 6208 91 00 19 : 12 % tiers, SPG Inde 9,6 % (exportateur REX)</t>
        </is>
      </c>
    </row>
    <row r="9">
      <c r="A9" t="inlineStr">
        <is>
          <t>Transitaire + dédouanement (€/lot)</t>
        </is>
      </c>
      <c r="B9" s="2" t="n">
        <v>180</v>
      </c>
      <c r="C9" t="inlineStr"/>
      <c r="D9" t="inlineStr"/>
      <c r="E9" t="inlineStr">
        <is>
          <t>ESTIMATION forfait transitaire + déclaration</t>
        </is>
      </c>
    </row>
    <row r="10">
      <c r="A10" t="inlineStr">
        <is>
          <t>Tests / conformité (€/lot)</t>
        </is>
      </c>
      <c r="B10" s="2" t="n">
        <v>200</v>
      </c>
      <c r="C10" t="inlineStr"/>
      <c r="D10" t="inlineStr"/>
      <c r="E10" t="inlineStr">
        <is>
          <t>ESTIMATION test azoïques EN ISO 14362-1 par lot</t>
        </is>
      </c>
    </row>
    <row r="11">
      <c r="A11" t="inlineStr">
        <is>
          <t>Packaging de marque (€/unité)</t>
        </is>
      </c>
      <c r="B11" s="2" t="n">
        <v>1.5</v>
      </c>
      <c r="C11" t="inlineStr"/>
      <c r="D11" t="inlineStr"/>
      <c r="E11" t="inlineStr">
        <is>
          <t>ESTIMATION pochette coton + étiquette</t>
        </is>
      </c>
    </row>
    <row r="12">
      <c r="A12" t="inlineStr">
        <is>
          <t>Prix de vente TTC (€)</t>
        </is>
      </c>
      <c r="B12" s="2" t="n">
        <v>85</v>
      </c>
      <c r="C12" t="inlineStr"/>
      <c r="D12" t="inlineStr"/>
      <c r="E12" t="inlineStr">
        <is>
          <t>Jamini 75-100 €, Bëllemme 49 €, Cyrillus 25-50 € (data/p3_kimono.md)</t>
        </is>
      </c>
    </row>
    <row r="13">
      <c r="A13" t="inlineStr">
        <is>
          <t>Livraison client payée par la marque (€ HT)</t>
        </is>
      </c>
      <c r="B13" s="2" t="n">
        <v>4.5</v>
      </c>
      <c r="C13" t="inlineStr"/>
      <c r="D13" t="inlineStr"/>
      <c r="E13" t="inlineStr">
        <is>
          <t>Mondial Relay pro ≤1 kg</t>
        </is>
      </c>
    </row>
    <row r="14">
      <c r="A14" t="inlineStr">
        <is>
          <t>Taux de retour</t>
        </is>
      </c>
      <c r="B14" s="4" t="n">
        <v>0.08</v>
      </c>
      <c r="C14" t="inlineStr"/>
      <c r="D14" t="inlineStr"/>
      <c r="E14" t="inlineStr">
        <is>
          <t>ESTIMATION : habillement, coupe ample</t>
        </is>
      </c>
    </row>
    <row r="16">
      <c r="A16" s="1" t="inlineStr">
        <is>
          <t>COÛT RENDU FRANCE</t>
        </is>
      </c>
      <c r="B16" t="inlineStr">
        <is>
          <t>Total lot (€)</t>
        </is>
      </c>
      <c r="C16" t="inlineStr">
        <is>
          <t>Par unité (€)</t>
        </is>
      </c>
    </row>
    <row r="17">
      <c r="A17" t="inlineStr">
        <is>
          <t>Marchandise (FOB × change × quantité)</t>
        </is>
      </c>
      <c r="B17" s="5">
        <f>$B$4*'Hypothèses communes'!$B$2*$B$5</f>
        <v/>
      </c>
      <c r="C17" s="5">
        <f>B17/$B$5</f>
        <v/>
      </c>
    </row>
    <row r="18">
      <c r="A18" t="inlineStr">
        <is>
          <t>Fret aérien</t>
        </is>
      </c>
      <c r="B18" s="5">
        <f>$B$6*$B$7*$B$5</f>
        <v/>
      </c>
      <c r="C18" s="5">
        <f>B18/$B$5</f>
        <v/>
      </c>
    </row>
    <row r="19">
      <c r="A19" t="inlineStr">
        <is>
          <t>Assurance</t>
        </is>
      </c>
      <c r="B19" s="5">
        <f>(B17+B18)*'Hypothèses communes'!$B$6</f>
        <v/>
      </c>
      <c r="C19" s="5">
        <f>B19/$B$5</f>
        <v/>
      </c>
    </row>
    <row r="20">
      <c r="A20" t="inlineStr">
        <is>
          <t>Valeur en douane (CIF)</t>
        </is>
      </c>
      <c r="B20" s="5">
        <f>B17+B18+B19</f>
        <v/>
      </c>
      <c r="C20" s="5">
        <f>B20/$B$5</f>
        <v/>
      </c>
    </row>
    <row r="21">
      <c r="A21" t="inlineStr">
        <is>
          <t>Droits de douane</t>
        </is>
      </c>
      <c r="B21" s="5">
        <f>B20*$B$8</f>
        <v/>
      </c>
      <c r="C21" s="5">
        <f>B21/$B$5</f>
        <v/>
      </c>
    </row>
    <row r="22">
      <c r="A22" t="inlineStr">
        <is>
          <t>Transitaire + dédouanement</t>
        </is>
      </c>
      <c r="B22" s="5">
        <f>$B$9</f>
        <v/>
      </c>
      <c r="C22" s="5">
        <f>B22/$B$5</f>
        <v/>
      </c>
    </row>
    <row r="23">
      <c r="A23" t="inlineStr">
        <is>
          <t>Tests / conformité</t>
        </is>
      </c>
      <c r="B23" s="5">
        <f>$B$10</f>
        <v/>
      </c>
      <c r="C23" s="5">
        <f>B23/$B$5</f>
        <v/>
      </c>
    </row>
    <row r="24">
      <c r="A24" t="inlineStr">
        <is>
          <t>Packaging de marque</t>
        </is>
      </c>
      <c r="B24" s="5">
        <f>$B$11*$B$5</f>
        <v/>
      </c>
      <c r="C24" s="5">
        <f>B24/$B$5</f>
        <v/>
      </c>
    </row>
    <row r="25">
      <c r="A25" s="1" t="inlineStr">
        <is>
          <t>COÛT RENDU (hors TVA import, récupérable)</t>
        </is>
      </c>
      <c r="B25" s="5">
        <f>B20+B21+B22+B23+B24</f>
        <v/>
      </c>
      <c r="C25" s="6">
        <f>B25/$B$5</f>
        <v/>
      </c>
    </row>
    <row r="26">
      <c r="A26" t="inlineStr">
        <is>
          <t>TVA import à avancer (récupérée ensuite)</t>
        </is>
      </c>
      <c r="B26" s="5">
        <f>(B20+B21)*'Hypothèses communes'!$B$3</f>
        <v/>
      </c>
      <c r="C26" s="5">
        <f>B26/$B$5</f>
        <v/>
      </c>
    </row>
    <row r="28">
      <c r="A28" s="1" t="inlineStr">
        <is>
          <t>UNIT ECONOMICS PAR COMMANDE (1 unité)</t>
        </is>
      </c>
      <c r="B28" t="inlineStr">
        <is>
          <t>€</t>
        </is>
      </c>
    </row>
    <row r="29">
      <c r="A29" t="inlineStr">
        <is>
          <t>Prix TTC</t>
        </is>
      </c>
      <c r="B29" s="5">
        <f>$B$12</f>
        <v/>
      </c>
    </row>
    <row r="30">
      <c r="A30" t="inlineStr">
        <is>
          <t>Prix HT</t>
        </is>
      </c>
      <c r="B30" s="5">
        <f>B29/(1+'Hypothèses communes'!$B$3)</f>
        <v/>
      </c>
    </row>
    <row r="31">
      <c r="A31" t="inlineStr">
        <is>
          <t>Coût rendu unitaire</t>
        </is>
      </c>
      <c r="B31" s="5">
        <f>C25</f>
        <v/>
      </c>
    </row>
    <row r="32">
      <c r="A32" t="inlineStr">
        <is>
          <t>Marge brute (€)</t>
        </is>
      </c>
      <c r="B32" s="5">
        <f>B30-B31</f>
        <v/>
      </c>
    </row>
    <row r="33">
      <c r="A33" s="1" t="inlineStr">
        <is>
          <t>Marge brute % du HT (critère ≥ 65 %)</t>
        </is>
      </c>
      <c r="B33" s="7">
        <f>B32/B30</f>
        <v/>
      </c>
    </row>
    <row r="34">
      <c r="A34" s="1" t="inlineStr">
        <is>
          <t>Coût rendu % du TTC (critère ≤ 25 %)</t>
        </is>
      </c>
      <c r="B34" s="7">
        <f>B31/B29</f>
        <v/>
      </c>
    </row>
    <row r="35">
      <c r="A35" t="inlineStr">
        <is>
          <t>Frais de paiement Shopify</t>
        </is>
      </c>
      <c r="B35" s="5">
        <f>B29*'Hypothèses communes'!$B$4+'Hypothèses communes'!$B$5</f>
        <v/>
      </c>
    </row>
    <row r="36">
      <c r="A36" t="inlineStr">
        <is>
          <t>Livraison client</t>
        </is>
      </c>
      <c r="B36" s="5">
        <f>$B$13</f>
        <v/>
      </c>
    </row>
    <row r="37">
      <c r="A37" t="inlineStr">
        <is>
          <t>Coût des retours (par commande)</t>
        </is>
      </c>
      <c r="B37" s="5">
        <f>$B$14*('Hypothèses communes'!$B$7+'Hypothèses communes'!$B$8*B31+B36)</f>
        <v/>
      </c>
    </row>
    <row r="38">
      <c r="A38" s="1" t="inlineStr">
        <is>
          <t>CONTRIBUTION AVANT PUB (€)</t>
        </is>
      </c>
      <c r="B38" s="6">
        <f>B32-B35-B36-B37</f>
        <v/>
      </c>
    </row>
    <row r="39">
      <c r="A39" t="inlineStr">
        <is>
          <t>Contribution avant pub % du HT</t>
        </is>
      </c>
      <c r="B39" s="8">
        <f>B38/B30</f>
        <v/>
      </c>
    </row>
    <row r="40">
      <c r="A40" s="1" t="inlineStr">
        <is>
          <t>CAC SEUIL (point mort par commande, €)</t>
        </is>
      </c>
      <c r="B40" s="6">
        <f>B38</f>
        <v/>
      </c>
    </row>
    <row r="41">
      <c r="A41" t="inlineStr">
        <is>
          <t>ROAS seuil (CA TTC / dépense pub)</t>
        </is>
      </c>
      <c r="B41" s="5">
        <f>B29/B40</f>
        <v/>
      </c>
    </row>
    <row r="43">
      <c r="A43" s="1" t="inlineStr">
        <is>
          <t>SCÉNARIOS DE COÛT D'ACQUISITION</t>
        </is>
      </c>
      <c r="B43" t="inlineStr">
        <is>
          <t>CAC (€)</t>
        </is>
      </c>
      <c r="C43" t="inlineStr">
        <is>
          <t>Contribution après pub (€)</t>
        </is>
      </c>
      <c r="D43" t="inlineStr">
        <is>
          <t>% du HT</t>
        </is>
      </c>
    </row>
    <row r="44">
      <c r="A44" t="inlineStr">
        <is>
          <t>Optimiste</t>
        </is>
      </c>
      <c r="B44" s="2" t="n">
        <v>15</v>
      </c>
      <c r="C44" s="5">
        <f>B38-B44</f>
        <v/>
      </c>
      <c r="D44" s="8">
        <f>C44/B30</f>
        <v/>
      </c>
      <c r="E44" t="inlineStr">
        <is>
          <t>ESTIMATION : CAC Meta/Google DTC accessoires premium France ; à remplacer par le CAC mesuré au test</t>
        </is>
      </c>
    </row>
    <row r="45">
      <c r="A45" t="inlineStr">
        <is>
          <t>Central</t>
        </is>
      </c>
      <c r="B45" s="2" t="n">
        <v>25</v>
      </c>
      <c r="C45" s="5">
        <f>B38-B45</f>
        <v/>
      </c>
      <c r="D45" s="8">
        <f>C45/B30</f>
        <v/>
      </c>
      <c r="E45" t="inlineStr">
        <is>
          <t>ESTIMATION : CAC Meta/Google DTC accessoires premium France ; à remplacer par le CAC mesuré au test</t>
        </is>
      </c>
    </row>
    <row r="46">
      <c r="A46" t="inlineStr">
        <is>
          <t>Pessimiste</t>
        </is>
      </c>
      <c r="B46" s="2" t="n">
        <v>40</v>
      </c>
      <c r="C46" s="5">
        <f>B38-B46</f>
        <v/>
      </c>
      <c r="D46" s="8">
        <f>C46/B30</f>
        <v/>
      </c>
      <c r="E46" t="inlineStr">
        <is>
          <t>ESTIMATION : CAC Meta/Google DTC accessoires premium France ; à remplacer par le CAC mesuré au test</t>
        </is>
      </c>
    </row>
    <row r="48">
      <c r="A48" t="inlineStr">
        <is>
          <t>Lecture : si la contribution après pub est négative au CAC central, ne pas lancer sans 2e article dans le panier (bundle) ou prix plus élevé.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70" customWidth="1" min="3" max="3"/>
  </cols>
  <sheetData>
    <row r="1">
      <c r="A1" s="3" t="inlineStr">
        <is>
          <t>Besoin de trésorerie — lancement kimono (90 jours)</t>
        </is>
      </c>
    </row>
    <row r="3">
      <c r="A3" s="1" t="inlineStr">
        <is>
          <t>Poste</t>
        </is>
      </c>
      <c r="B3" s="1" t="inlineStr">
        <is>
          <t>€</t>
        </is>
      </c>
      <c r="C3" s="1" t="inlineStr">
        <is>
          <t>Source / méthode</t>
        </is>
      </c>
    </row>
    <row r="4">
      <c r="A4" t="inlineStr">
        <is>
          <t>Stock + import (coût rendu du 1er lot)</t>
        </is>
      </c>
      <c r="B4" s="9">
        <f>'Kimono'!B25</f>
        <v/>
      </c>
      <c r="C4" t="inlineStr">
        <is>
          <t>Feuille « Kimono »</t>
        </is>
      </c>
    </row>
    <row r="5">
      <c r="A5" t="inlineStr">
        <is>
          <t>TVA import avancée (récupérée sous 1-3 mois)</t>
        </is>
      </c>
      <c r="B5" s="9">
        <f>'Kimono'!B26</f>
        <v/>
      </c>
      <c r="C5" t="inlineStr">
        <is>
          <t>Feuille « Kimono »</t>
        </is>
      </c>
    </row>
    <row r="6">
      <c r="A6" t="inlineStr">
        <is>
          <t>Échantillons 5 fournisseurs (~15 $ pièce + DHL Inde)</t>
        </is>
      </c>
      <c r="B6" s="10" t="n">
        <v>200</v>
      </c>
      <c r="C6" t="inlineStr">
        <is>
          <t>ESTIMATION</t>
        </is>
      </c>
    </row>
    <row r="7">
      <c r="A7" t="inlineStr">
        <is>
          <t>Test pré-commande (pub + page)</t>
        </is>
      </c>
      <c r="B7" s="10" t="n">
        <v>750</v>
      </c>
      <c r="C7" t="inlineStr">
        <is>
          <t>Budget test 500-1 000 € (rapport §Phase 4)</t>
        </is>
      </c>
    </row>
    <row r="8">
      <c r="A8" t="inlineStr">
        <is>
          <t>Création société (micro/SASU) + immatriculation</t>
        </is>
      </c>
      <c r="B8" s="10" t="n">
        <v>300</v>
      </c>
      <c r="C8" t="inlineStr">
        <is>
          <t>ESTIMATION frais annonce légale + greffe</t>
        </is>
      </c>
    </row>
    <row r="9">
      <c r="A9" t="inlineStr">
        <is>
          <t>Shopify 3 mois + thème + applis</t>
        </is>
      </c>
      <c r="B9" s="10" t="n">
        <v>250</v>
      </c>
      <c r="C9" t="inlineStr">
        <is>
          <t>36 €/mois × 3 + thème/app</t>
        </is>
      </c>
    </row>
    <row r="10">
      <c r="A10" t="inlineStr">
        <is>
          <t>Marque : nom, logo, dépôt INPI 1 classe</t>
        </is>
      </c>
      <c r="B10" s="10" t="n">
        <v>450</v>
      </c>
      <c r="C10" t="inlineStr">
        <is>
          <t>INPI 190 € (1 classe) + recherche d antériorité 50 € (legalplace.fr/guides/prix-depot-marque-inpi, 2026) + identité visuelle faite par le fondateur ~210 €</t>
        </is>
      </c>
    </row>
    <row r="11">
      <c r="A11" t="inlineStr">
        <is>
          <t>Shooting / contenu (fait par le fondateur)</t>
        </is>
      </c>
      <c r="B11" s="10" t="n">
        <v>150</v>
      </c>
      <c r="C11" t="inlineStr">
        <is>
          <t>Accessoires, fonds</t>
        </is>
      </c>
    </row>
    <row r="12">
      <c r="A12" t="inlineStr">
        <is>
          <t>Pub de lancement J45-J90</t>
        </is>
      </c>
      <c r="B12" s="10" t="n">
        <v>2500</v>
      </c>
      <c r="C12" t="inlineStr">
        <is>
          <t>ESTIMATION ~100 commandes × CAC central 25 €</t>
        </is>
      </c>
    </row>
    <row r="13">
      <c r="A13" t="inlineStr">
        <is>
          <t>Réassort 2e lot (2 motifs gagnants × 40)</t>
        </is>
      </c>
      <c r="B13" s="10" t="n">
        <v>1100</v>
      </c>
      <c r="C13" t="inlineStr">
        <is>
          <t>ESTIMATION 80 × coût rendu ~13,6 € ; seulement si critères du test atteints</t>
        </is>
      </c>
    </row>
    <row r="14">
      <c r="A14" t="inlineStr">
        <is>
          <t>Adhésion Refashion + Triman</t>
        </is>
      </c>
      <c r="B14" s="10" t="n">
        <v>50</v>
      </c>
      <c r="C14" t="inlineStr">
        <is>
          <t>ESTIMATION petite structure</t>
        </is>
      </c>
    </row>
    <row r="15">
      <c r="A15" t="inlineStr">
        <is>
          <t>Réserve imprévus (10 %)</t>
        </is>
      </c>
      <c r="B15" s="9">
        <f>0.1*SUM(B4:B14)</f>
        <v/>
      </c>
      <c r="C15" t="inlineStr">
        <is>
          <t>10 % du total ci-dessus</t>
        </is>
      </c>
    </row>
    <row r="16">
      <c r="A16" s="1" t="inlineStr">
        <is>
          <t>TOTAL BESOIN DE TRÉSORERIE</t>
        </is>
      </c>
      <c r="B16" s="11">
        <f>SUM(B4:B15)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2026-10-02T23:35:52Z</dcterms:created>
  <dcterms:modified xsi:type="dcterms:W3CDTF">2026-10-02T23:35:52Z</dcterms:modified>
</cp:coreProperties>
</file>